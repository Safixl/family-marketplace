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италка" sheetId="1" r:id="rId5"/>
    <sheet state="visible" name="Магазин Ч" sheetId="2" r:id="rId6"/>
    <sheet state="visible" name="Мета" sheetId="3" r:id="rId7"/>
    <sheet state="visible" name="Магазин М" sheetId="4" r:id="rId8"/>
    <sheet state="visible" name="Дом" sheetId="5" r:id="rId9"/>
    <sheet state="visible" name="Лист7" sheetId="6" r:id="rId10"/>
    <sheet state="visible" name="Лист8" sheetId="7" r:id="rId11"/>
  </sheets>
  <definedNames/>
  <calcPr/>
</workbook>
</file>

<file path=xl/sharedStrings.xml><?xml version="1.0" encoding="utf-8"?>
<sst xmlns="http://schemas.openxmlformats.org/spreadsheetml/2006/main" count="600" uniqueCount="184">
  <si>
    <t>Накопленно Баллов:</t>
  </si>
  <si>
    <t>Баллы:</t>
  </si>
  <si>
    <t>Магазин</t>
  </si>
  <si>
    <t>Покупки</t>
  </si>
  <si>
    <t>Позиция</t>
  </si>
  <si>
    <t>Цена</t>
  </si>
  <si>
    <t>Стоимость</t>
  </si>
  <si>
    <t>Дата</t>
  </si>
  <si>
    <t>Пополнить карту на 1000 руб.</t>
  </si>
  <si>
    <t>Увеличить карманные деньги на неделю на 100 руб.</t>
  </si>
  <si>
    <t>Увеличить лимит на Телевизор на 15 минут</t>
  </si>
  <si>
    <t>Увеличить лимит на Компьютер и приставку на 15 минут</t>
  </si>
  <si>
    <t>Увеличить лимит на Телефон на 15 минут</t>
  </si>
  <si>
    <t>Скачать приложение или игру на телефон</t>
  </si>
  <si>
    <t>Поход в кино-театр</t>
  </si>
  <si>
    <t>Поездка в аквапарк</t>
  </si>
  <si>
    <t>Поездка в парк атракционов</t>
  </si>
  <si>
    <t>№</t>
  </si>
  <si>
    <t>1 серия мультик/аниме</t>
  </si>
  <si>
    <t>Покупка приложения</t>
  </si>
  <si>
    <t>1 фильм/мультфильм</t>
  </si>
  <si>
    <t>15 минут лимита на телефон</t>
  </si>
  <si>
    <t>Книга</t>
  </si>
  <si>
    <t>Автор</t>
  </si>
  <si>
    <t>Февраль</t>
  </si>
  <si>
    <t>Серия</t>
  </si>
  <si>
    <t>30 минут игра на PS4</t>
  </si>
  <si>
    <t>Цикл</t>
  </si>
  <si>
    <t>Жанр</t>
  </si>
  <si>
    <t>30 минут игра на Компьютере</t>
  </si>
  <si>
    <t>Покупка телефона*</t>
  </si>
  <si>
    <t>Страниц</t>
  </si>
  <si>
    <t>15 минут лимита на телефоне</t>
  </si>
  <si>
    <t>Март</t>
  </si>
  <si>
    <t>Дата Н</t>
  </si>
  <si>
    <t>619 рублей</t>
  </si>
  <si>
    <t>30 минут ютуб</t>
  </si>
  <si>
    <t>Дата К</t>
  </si>
  <si>
    <t>Множитель</t>
  </si>
  <si>
    <t>Бонусные вкусности за серию</t>
  </si>
  <si>
    <t>Баллы</t>
  </si>
  <si>
    <t>Безлемит на телефон на день</t>
  </si>
  <si>
    <t>Лимиты</t>
  </si>
  <si>
    <t>Комната</t>
  </si>
  <si>
    <t>Устройство</t>
  </si>
  <si>
    <t>Гарри Поттер и философский камень</t>
  </si>
  <si>
    <t>*</t>
  </si>
  <si>
    <t>Время</t>
  </si>
  <si>
    <t>Гостинная</t>
  </si>
  <si>
    <t>Телевизор</t>
  </si>
  <si>
    <t>Роман, Дж.К. Роулинг</t>
  </si>
  <si>
    <t>Приставка и комп</t>
  </si>
  <si>
    <t>Гарри Поттер</t>
  </si>
  <si>
    <t>Телефон</t>
  </si>
  <si>
    <t>Маги</t>
  </si>
  <si>
    <t>Карманные деньги на неделю</t>
  </si>
  <si>
    <t>Бардак</t>
  </si>
  <si>
    <t>Порядок</t>
  </si>
  <si>
    <t>Срач</t>
  </si>
  <si>
    <t>Помощь</t>
  </si>
  <si>
    <t>-</t>
  </si>
  <si>
    <t>Телевизор 30 минут</t>
  </si>
  <si>
    <t>Плойка или комп 30 минут</t>
  </si>
  <si>
    <t>Загадка закрытого ящика</t>
  </si>
  <si>
    <t>Холли Вебб</t>
  </si>
  <si>
    <t>Мейзи Хитчинс</t>
  </si>
  <si>
    <t>Детектив</t>
  </si>
  <si>
    <t>Увелечение лимита на 30 минут</t>
  </si>
  <si>
    <t>*2м</t>
  </si>
  <si>
    <t>Увелечение лимита на 1 час</t>
  </si>
  <si>
    <t xml:space="preserve">Увелечение лимита на  2 час </t>
  </si>
  <si>
    <t>Пропавший изумруд</t>
  </si>
  <si>
    <t>Магазин домашних дел</t>
  </si>
  <si>
    <t>баллы</t>
  </si>
  <si>
    <t>Покупки на Озон 65 руб.</t>
  </si>
  <si>
    <t>Призрак кошки</t>
  </si>
  <si>
    <t>15 число</t>
  </si>
  <si>
    <t>Макбук</t>
  </si>
  <si>
    <t>Умный свет</t>
  </si>
  <si>
    <t>Тайна мальчика из джунглей</t>
  </si>
  <si>
    <t>Игровая приставка</t>
  </si>
  <si>
    <t>Прикроватная тумбочка</t>
  </si>
  <si>
    <t>Щенок под прикрытием</t>
  </si>
  <si>
    <t>Пуфик зверушка</t>
  </si>
  <si>
    <t>Средний мягкий ковер</t>
  </si>
  <si>
    <t>Кровать домиком</t>
  </si>
  <si>
    <t>Секрет пролитых чернил</t>
  </si>
  <si>
    <t>сумм</t>
  </si>
  <si>
    <t>Египетский ребус</t>
  </si>
  <si>
    <t>Итог</t>
  </si>
  <si>
    <t>Алиса мини</t>
  </si>
  <si>
    <t>Почему русалка плачет</t>
  </si>
  <si>
    <t>Всего</t>
  </si>
  <si>
    <t>Телевизор 43"</t>
  </si>
  <si>
    <r>
      <rPr>
        <rFont val="Arial"/>
        <color theme="1"/>
        <sz val="8.0"/>
      </rPr>
      <t xml:space="preserve">
</t>
    </r>
    <r>
      <rPr>
        <rFont val="Arial"/>
        <b/>
        <color theme="1"/>
        <sz val="8.0"/>
      </rPr>
      <t xml:space="preserve">Название: </t>
    </r>
    <r>
      <rPr>
        <rFont val="Arial"/>
        <color theme="1"/>
        <sz val="8.0"/>
      </rPr>
      <t xml:space="preserve">«Тьма веков» / Dark Ages
</t>
    </r>
    <r>
      <rPr>
        <rFont val="Arial"/>
        <b/>
        <color theme="1"/>
        <sz val="8.0"/>
      </rPr>
      <t>Предыстория:</t>
    </r>
    <r>
      <rPr>
        <rFont val="Arial"/>
        <color theme="1"/>
        <sz val="8.0"/>
      </rPr>
      <t xml:space="preserve">
В 2061 году произошла глобальная катастрофа — «Бледный Рассвет». Эксперимент с нейросетевыми имплантами, призванный расширить человеческие возможности, вышел из‑под контроля. Волна электромагнитного излучения не только уничтожила всю электронику, но и необратимо повредила зрительные центры мозга у 99 % населения.
За несколько десятилетий цивилизация рухнула. Города превратились в руины, знания были утеряны. Выжившие сбивались в небольшие кланы, приспосабливаясь к жизни в абсолютной темноте.
К 2311 году человечество откатилось к уровню средневековья. Основой выживания стали осязание, слух, обоняние и память. Кланы ведут борьбу за ресурсы и влияние, а редкие артефакты прошлого — ключи к забытым технологиям — становятся предметом охоты.
</t>
    </r>
    <r>
      <rPr>
        <rFont val="Arial"/>
        <b/>
        <color theme="1"/>
        <sz val="8.0"/>
      </rPr>
      <t>Фракции</t>
    </r>
    <r>
      <rPr>
        <rFont val="Arial"/>
        <color theme="1"/>
        <sz val="8.0"/>
      </rPr>
      <t xml:space="preserve"> (игроки): 
</t>
    </r>
    <r>
      <rPr>
        <rFont val="Arial"/>
        <b/>
        <color theme="1"/>
        <sz val="8.0"/>
      </rPr>
      <t>Эхо-странники.</t>
    </r>
    <r>
      <rPr>
        <rFont val="Arial"/>
        <color theme="1"/>
        <sz val="8.0"/>
      </rPr>
      <t xml:space="preserve"> Ориентируются по эху и вибрациям земли. Строят жилища на возвышенностях, используют собак-поводырей. (красный)
</t>
    </r>
    <r>
      <rPr>
        <rFont val="Arial"/>
        <b/>
        <color theme="1"/>
        <sz val="8.0"/>
      </rPr>
      <t xml:space="preserve">Ночные ткачи. </t>
    </r>
    <r>
      <rPr>
        <rFont val="Arial"/>
        <color theme="1"/>
        <sz val="8.0"/>
      </rPr>
      <t xml:space="preserve">Мастера ремёсел, создают сложные тактильные карты и инструменты. Их поселения — лабиринты коридоров. (синий)
</t>
    </r>
    <r>
      <rPr>
        <rFont val="Arial"/>
        <b/>
        <color theme="1"/>
        <sz val="8.0"/>
      </rPr>
      <t xml:space="preserve">Хранители корней. </t>
    </r>
    <r>
      <rPr>
        <rFont val="Arial"/>
        <color theme="1"/>
        <sz val="8.0"/>
      </rPr>
      <t xml:space="preserve">Почитают природу, живут в лесах, ориентируются по запахам и прикосновениям к растениям. (зеленый)
</t>
    </r>
    <r>
      <rPr>
        <rFont val="Arial"/>
        <b/>
        <color theme="1"/>
        <sz val="8.0"/>
      </rPr>
      <t>Дети Глубин.</t>
    </r>
    <r>
      <rPr>
        <rFont val="Arial"/>
        <color theme="1"/>
        <sz val="8.0"/>
      </rPr>
      <t xml:space="preserve"> Оби</t>
    </r>
    <r>
      <rPr>
        <rFont val="Arial"/>
        <color theme="1"/>
        <sz val="9.0"/>
      </rPr>
      <t>тают в</t>
    </r>
    <r>
      <rPr>
        <rFont val="Arial"/>
        <color theme="1"/>
        <sz val="8.0"/>
      </rPr>
      <t xml:space="preserve"> пещерах и руинах городов, используют подземных животных для поиска ресурсов. (белый)
</t>
    </r>
    <r>
      <rPr>
        <rFont val="Arial"/>
        <b/>
        <color theme="1"/>
        <sz val="8.0"/>
      </rPr>
      <t>Конфликт:</t>
    </r>
    <r>
      <rPr>
        <rFont val="Arial"/>
        <color theme="1"/>
        <sz val="8.0"/>
      </rPr>
      <t xml:space="preserve">
Кланы борются за контроль над территориями, богатыми ресурсами, и за обладание «Утеряными технологиями» — редкими артефактами. Победа достаётся тому, кто первым наберёт 10 победных очков (ПО), развивая поселения и открывая древние знания.
</t>
    </r>
    <r>
      <rPr>
        <rFont val="Arial"/>
        <b/>
        <color theme="1"/>
        <sz val="8.0"/>
      </rPr>
      <t>Концепция карты игрового поля:</t>
    </r>
    <r>
      <rPr>
        <rFont val="Arial"/>
        <color theme="1"/>
        <sz val="8.0"/>
      </rPr>
      <t xml:space="preserve">
Карта — Статическая с 20 ячейками вокруг которых от 4 до 7 точек для строения поселений.
//
</t>
    </r>
    <r>
      <rPr>
        <rFont val="Arial"/>
        <i/>
        <color theme="1"/>
        <sz val="8.0"/>
      </rPr>
      <t xml:space="preserve">{модульная, собирается из 20 гексагональных плиток (ячеек).} 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{Каждая плитка имеет 6 сторон (рёбер) и 6 вершин (точек).}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{На рёбрах строятся дороги, на вершинах — поселения, столицы и деревни.}</t>
    </r>
    <r>
      <rPr>
        <rFont val="Arial"/>
        <color theme="1"/>
        <sz val="8.0"/>
      </rPr>
      <t xml:space="preserve">
</t>
    </r>
    <r>
      <rPr>
        <rFont val="Arial"/>
        <i/>
        <color theme="1"/>
        <sz val="8.0"/>
      </rPr>
      <t>{В центре плитки — символ ресурса(ов).}</t>
    </r>
    <r>
      <rPr>
        <rFont val="Arial"/>
        <color theme="1"/>
        <sz val="8.0"/>
      </rPr>
      <t xml:space="preserve">
//
</t>
    </r>
    <r>
      <rPr>
        <rFont val="Arial"/>
        <b/>
        <color theme="1"/>
        <sz val="8.0"/>
      </rPr>
      <t xml:space="preserve">Распределение ресурсов: 1/1/2/3/4/5/5/6/6/7/7/8/8/9/9/10/10/11/11  0/0/2/3/4  </t>
    </r>
    <r>
      <rPr>
        <rFont val="Arial"/>
        <color theme="1"/>
        <sz val="8.0"/>
      </rPr>
      <t xml:space="preserve">
Дерево   1, 4, 6, 9
Камень  2, 5, 7, 10
Мясо   3, 1,8 ,11 
Золото   5, 7,9 
Железо  6, 8,10
Универсальная клетка 11 (центр)
</t>
    </r>
    <r>
      <rPr>
        <rFont val="Arial"/>
        <i/>
        <color theme="1"/>
        <sz val="8.0"/>
      </rPr>
      <t>{Комбинации (2 ресурса)        0 (остаток)        Можно добавить 1–2 плитки с комбинациями, например, «Дерево + Камень»}</t>
    </r>
    <r>
      <rPr>
        <rFont val="Arial"/>
        <color theme="1"/>
        <sz val="8.0"/>
      </rPr>
      <t xml:space="preserve">
</t>
    </r>
    <r>
      <rPr>
        <rFont val="Arial"/>
        <b/>
        <color theme="1"/>
        <sz val="8.0"/>
      </rPr>
      <t>Визуальный стиль карты:</t>
    </r>
    <r>
      <rPr>
        <rFont val="Arial"/>
        <color theme="1"/>
        <sz val="8.0"/>
      </rPr>
      <t xml:space="preserve">
Дизайн карточек
Общие принципы:
руны на камнях;
отпечатки лап животных;
корни деревьев, оплетающие тропы;
символы кланов в углах карты.
Единый стиль для всех карточек.
Крупные, чёткие символы ресурсов.
Тактильные элементы (рельеф, тиснение) для облегчения идентификации вслепую.
Обратная сторона — единый узор (например, символ «Слепого Ока»).
Типы карточек и их оформление:
Карточки ресурсов (25 шт. каждого вида):
</t>
    </r>
    <r>
      <rPr>
        <rFont val="Arial"/>
        <b/>
        <color theme="1"/>
        <sz val="8.0"/>
      </rPr>
      <t>Карточки технологий:</t>
    </r>
    <r>
      <rPr>
        <rFont val="Arial"/>
        <color theme="1"/>
        <sz val="8.0"/>
      </rPr>
      <t xml:space="preserve">
</t>
    </r>
    <r>
      <rPr>
        <rFont val="Arial"/>
        <b/>
        <color theme="1"/>
        <sz val="8.0"/>
      </rPr>
      <t xml:space="preserve">«Прорывная технология» </t>
    </r>
    <r>
      <rPr>
        <rFont val="Arial"/>
        <color theme="1"/>
        <sz val="8.0"/>
      </rPr>
      <t xml:space="preserve">(+1 ПО): фон — тёмно-синий, символ — шестерёнка в виде руны.
6 карточек дублей 1/1 2/2 3/3 и т.д. на картах визуально обыграно в виде узора числа на гранях соответствующего дубля, разыганная карта позволяет не пропускать свой ход при броске дубля, максимум 3 карты для розыгрыша.
1 карта открытого ока (визуально открытый глаз на руке) работает совместно с религиями 1 и 2, дает возможность собирать ресурсы с выпавших дублей (1 кубик)
1 карта закрытого и зашитого ока,(визуально зашитый глаз на руке) работает совместно с религией 3 и 4, дает возможность собирать ресурсы с выпавших дублей (сумма на кубиках) при выпадении 12 взять в закрытую с верха колоды карту технологий.
</t>
    </r>
    <r>
      <rPr>
        <rFont val="Arial"/>
        <b/>
        <color theme="1"/>
        <sz val="8.0"/>
      </rPr>
      <t xml:space="preserve">«Религия» </t>
    </r>
    <r>
      <rPr>
        <rFont val="Arial"/>
        <color theme="1"/>
        <sz val="8.0"/>
      </rPr>
      <t xml:space="preserve">(+1 ПО): фон — бордовый, символ — стилизованный глаз или рука, сложенная в молитве.
Бледного рассвета- в свой ход можно сыграть войско (бонусное действие) без эффекта разграбления. 
Дети леса- отшельники живут в лесах, моментальный эффект поставить поселение в любую точку карты
Вечное пламя- в свой ход можно передвинуть свою фишку собиратель(бонусное действие)
Нового поколения- карта валет выбор при разыгровке единожды (1) охота на зрячих позволяет в начале своего хода разыграть карту технологий другого игрока которая доступна для розыгрыша, она может быть открыта или закрыты
(2) зрячие, добавляет куб времени суток используй во время выпадения дублей в свой ход, светло/сумерки/темно, дает 2ПО но не дает ПО за технологии кроме карты открытого ока, если карты уже разыграны то верни их на открытый рынок
</t>
    </r>
    <r>
      <rPr>
        <rFont val="Arial"/>
        <b/>
        <color theme="1"/>
        <sz val="8.0"/>
      </rPr>
      <t>«Собиратель»</t>
    </r>
    <r>
      <rPr>
        <rFont val="Arial"/>
        <color theme="1"/>
        <sz val="8.0"/>
      </rPr>
      <t xml:space="preserve">: фон — коричневый, символ — фигура человека с сумкой (передвинуть и собрать ресурс).
</t>
    </r>
    <r>
      <rPr>
        <rFont val="Arial"/>
        <b/>
        <color theme="1"/>
        <sz val="8.0"/>
      </rPr>
      <t>«Нечестная игра»</t>
    </r>
    <r>
      <rPr>
        <rFont val="Arial"/>
        <color theme="1"/>
        <sz val="8.0"/>
      </rPr>
      <t xml:space="preserve"> (+1 ПО): фон — чёрный, символ — маска или кинжал. (возможно получить только в закрытую, если выпало на открытый рынок замешать в колоду)
</t>
    </r>
    <r>
      <rPr>
        <rFont val="Arial"/>
        <b/>
        <color theme="1"/>
        <sz val="8.0"/>
      </rPr>
      <t>«Монополия»</t>
    </r>
    <r>
      <rPr>
        <rFont val="Arial"/>
        <color theme="1"/>
        <sz val="8.0"/>
      </rPr>
      <t xml:space="preserve">: фон — золотой, символ — корона.(Забрать у игрока  все карты выбранного ресурса)
</t>
    </r>
    <r>
      <rPr>
        <rFont val="Arial"/>
        <b/>
        <color theme="1"/>
        <sz val="8.0"/>
      </rPr>
      <t>«Невыгодная сделка»</t>
    </r>
    <r>
      <rPr>
        <rFont val="Arial"/>
        <color theme="1"/>
        <sz val="8.0"/>
      </rPr>
      <t xml:space="preserve">: фон — серый с красными полосами, символ — весы с перевесом.(Поменяться с игроком всеми картами ресурсов, если нет карт поменяться нельзя)
</t>
    </r>
    <r>
      <rPr>
        <rFont val="Arial"/>
        <b/>
        <color theme="1"/>
        <sz val="8.0"/>
      </rPr>
      <t>«Заговор за спиной»</t>
    </r>
    <r>
      <rPr>
        <rFont val="Arial"/>
        <color theme="1"/>
        <sz val="8.0"/>
      </rPr>
      <t xml:space="preserve">: фон — тёмно-фиолетовый, символ — два силуэта, шепчущихся друг с другом.(Выбранный игрок пропускает ход)
</t>
    </r>
    <r>
      <rPr>
        <rFont val="Arial"/>
        <b/>
        <color theme="1"/>
        <sz val="8.0"/>
      </rPr>
      <t>Карточка-планшет игрока:</t>
    </r>
    <r>
      <rPr>
        <rFont val="Arial"/>
        <color theme="1"/>
        <sz val="8.0"/>
      </rPr>
      <t>(Формат: А5, двусторонний.)
Сторона 1: стоимость построек (дорога, деревня, поселение, столица, войско, собиратель) с символами ресурсов.
Сторона 2: краткое описание правил и подсчёта очков а так же лор фракции.
1 фаза хода: бросок кубиков и сбор ресурсов
2 фаза хода: строительство торговля и исследования
Стоимость строений:
Дорога (1 дерево) (1 камень)
Деревня (1 дерево) (1 камень) (1 мясо) (1 золото) [1 ПО] "если построено на тоговой точке [2 ПО]"
Деревня -&gt; Город (2 мясо) (2 золото) (2 железо)
Собиратель (1 мясо) (1 золото)
Воин (1 мясо) / [(1 золото) (1 железо)]
Исследование руин [(1 камень) (1 золото) (1 железо)]
3 фаза хода: сыграть карту технологий
Цвет фона — нейтральный (серый, тёмно-синий).
Карточки: стиль средневековых гравюр с элементами стимпанка (шестерёнки, провода, скрытые под камнем).</t>
    </r>
  </si>
  <si>
    <t>Апрель</t>
  </si>
  <si>
    <t>Таня Гроттер и магический контрабас</t>
  </si>
  <si>
    <t xml:space="preserve">Дмитрий Емцов </t>
  </si>
  <si>
    <t>Таня Гроттер</t>
  </si>
  <si>
    <t>Замок на двери</t>
  </si>
  <si>
    <t>Пророчество о драконятах</t>
  </si>
  <si>
    <t>Туи Сазерленд</t>
  </si>
  <si>
    <t>Драконья сага</t>
  </si>
  <si>
    <t>Фэнтези</t>
  </si>
  <si>
    <t>Май</t>
  </si>
  <si>
    <t>Мои баллы</t>
  </si>
  <si>
    <t>Потерянная принцесса</t>
  </si>
  <si>
    <t>Скрытое королевство</t>
  </si>
  <si>
    <t>Мрачная тайна</t>
  </si>
  <si>
    <t>ароматный мир</t>
  </si>
  <si>
    <t>джин</t>
  </si>
  <si>
    <t>ром</t>
  </si>
  <si>
    <t>триплсек</t>
  </si>
  <si>
    <t>блюкурасо</t>
  </si>
  <si>
    <t>коффе</t>
  </si>
  <si>
    <t>бейлис</t>
  </si>
  <si>
    <t>шерденс</t>
  </si>
  <si>
    <t>Трёхлунная ночь</t>
  </si>
  <si>
    <t>красное и белое</t>
  </si>
  <si>
    <t>вермут</t>
  </si>
  <si>
    <t>апероль</t>
  </si>
  <si>
    <t>Июнь</t>
  </si>
  <si>
    <t>брис</t>
  </si>
  <si>
    <t>Восхождение Луны</t>
  </si>
  <si>
    <t>Пророчество Яшмовой горы</t>
  </si>
  <si>
    <t>вин лаб</t>
  </si>
  <si>
    <t>блюкурасао</t>
  </si>
  <si>
    <t>Июль</t>
  </si>
  <si>
    <t>Сердце Холода</t>
  </si>
  <si>
    <t>Преодоление Беды</t>
  </si>
  <si>
    <t>Когти власти</t>
  </si>
  <si>
    <t>Драконья Тьма</t>
  </si>
  <si>
    <t>Затерянные земли</t>
  </si>
  <si>
    <t>Пророчество Затерянных земель</t>
  </si>
  <si>
    <t>Королева ульев</t>
  </si>
  <si>
    <t>Отравленные джунгли</t>
  </si>
  <si>
    <t>Опасный дар</t>
  </si>
  <si>
    <t>Пламя Надежды</t>
  </si>
  <si>
    <t>Мятежники</t>
  </si>
  <si>
    <t>Крылышки</t>
  </si>
  <si>
    <t>Мракокрад</t>
  </si>
  <si>
    <t>Легенды</t>
  </si>
  <si>
    <t>Драконоборец</t>
  </si>
  <si>
    <t>Гарри Поттер и узник Азкабана</t>
  </si>
  <si>
    <t>Нина, девочка с шестой луны</t>
  </si>
  <si>
    <t>Муни Витчер</t>
  </si>
  <si>
    <t>Нина</t>
  </si>
  <si>
    <t>Нина и загадка Восьмой Ноты</t>
  </si>
  <si>
    <t>Нина и заклятье Пернатого Змея</t>
  </si>
  <si>
    <t>Нина и Тайный глаз Атлантиды</t>
  </si>
  <si>
    <t>Огонь и лед</t>
  </si>
  <si>
    <t>Эрин Хантер</t>
  </si>
  <si>
    <t>Коты воители</t>
  </si>
  <si>
    <t>Воители</t>
  </si>
  <si>
    <t>Приключения</t>
  </si>
  <si>
    <t>Полночь</t>
  </si>
  <si>
    <t>Новое пророчество</t>
  </si>
  <si>
    <t>Рассвет</t>
  </si>
  <si>
    <t>Звездный свет</t>
  </si>
  <si>
    <t>Сумерки</t>
  </si>
  <si>
    <t>Закат</t>
  </si>
  <si>
    <t>Логово волка</t>
  </si>
  <si>
    <t>Анна Старобинец</t>
  </si>
  <si>
    <t>Зверский детектив</t>
  </si>
  <si>
    <t>Право хищника</t>
  </si>
  <si>
    <t>Когти гнева</t>
  </si>
  <si>
    <t>Щипач</t>
  </si>
  <si>
    <t>Робинзон Крузо</t>
  </si>
  <si>
    <t>Даниэль Дефо</t>
  </si>
  <si>
    <t>Летний лагерь</t>
  </si>
  <si>
    <t>Влад Райбер</t>
  </si>
  <si>
    <t>Вселенные ужасов Влада Райбера</t>
  </si>
  <si>
    <t>Ужасы</t>
  </si>
  <si>
    <t>На берегу темного моря</t>
  </si>
  <si>
    <t>Эндрю Питерсон</t>
  </si>
  <si>
    <t>Сага о семье Игиби</t>
  </si>
  <si>
    <t>Фентези</t>
  </si>
  <si>
    <t>Черная карета</t>
  </si>
  <si>
    <t>Чудовище лощин</t>
  </si>
  <si>
    <t>Король волк</t>
  </si>
  <si>
    <t>Плюшевая голова</t>
  </si>
  <si>
    <t>Кошачья маска</t>
  </si>
  <si>
    <t>Плачущий монстр</t>
  </si>
  <si>
    <t>Кошмарный звонок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</si>
</sst>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  <font>
      <sz val="9.0"/>
      <color theme="1"/>
      <name val="Arial"/>
      <scheme val="minor"/>
    </font>
    <font>
      <sz val="6.0"/>
      <color theme="1"/>
      <name val="Arial"/>
      <scheme val="minor"/>
    </font>
    <font>
      <sz val="5.0"/>
      <color theme="1"/>
      <name val="Arial"/>
      <scheme val="minor"/>
    </font>
    <font>
      <sz val="7.0"/>
      <color theme="1"/>
      <name val="Arial"/>
      <scheme val="minor"/>
    </font>
    <font>
      <sz val="8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/>
    </xf>
    <xf borderId="1" fillId="0" fontId="1" numFmtId="0" xfId="0" applyBorder="1" applyFont="1"/>
    <xf borderId="1" fillId="6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2" fillId="0" fontId="3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4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0"/>
    </xf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7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0" fillId="7" fontId="1" numFmtId="0" xfId="0" applyFill="1" applyFont="1"/>
    <xf borderId="0" fillId="8" fontId="1" numFmtId="0" xfId="0" applyAlignment="1" applyFill="1" applyFont="1">
      <alignment readingOrder="0"/>
    </xf>
    <xf borderId="2" fillId="5" fontId="4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3" fontId="1" numFmtId="0" xfId="0" applyAlignment="1" applyFill="1" applyFont="1">
      <alignment readingOrder="0"/>
    </xf>
    <xf borderId="1" fillId="0" fontId="8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1" numFmtId="0" xfId="0" applyBorder="1" applyFont="1"/>
    <xf borderId="2" fillId="0" fontId="3" numFmtId="0" xfId="0" applyAlignment="1" applyBorder="1" applyFont="1">
      <alignment horizontal="center"/>
    </xf>
    <xf borderId="0" fillId="9" fontId="8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textRotation="9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5" fontId="1" numFmtId="0" xfId="0" applyFill="1" applyFont="1"/>
    <xf borderId="0" fillId="13" fontId="1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Читалк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5" displayName="Таблица1" name="Таблица1" id="1">
  <tableColumns count="11">
    <tableColumn name="№" id="1"/>
    <tableColumn name="Книга" id="2"/>
    <tableColumn name="Автор" id="3"/>
    <tableColumn name="Серия" id="4"/>
    <tableColumn name="Цикл" id="5"/>
    <tableColumn name="Жанр" id="6"/>
    <tableColumn name="Страниц" id="7"/>
    <tableColumn name="Дата Н" id="8"/>
    <tableColumn name="Дата К" id="9"/>
    <tableColumn name="Множитель" id="10"/>
    <tableColumn name="Баллы" id="11"/>
  </tableColumns>
  <tableStyleInfo name="Читал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40.75"/>
    <col customWidth="1" min="3" max="3" width="22.88"/>
    <col customWidth="1" min="4" max="4" width="14.25"/>
    <col customWidth="1" min="5" max="5" width="24.75"/>
    <col customWidth="1" min="6" max="6" width="13.25"/>
    <col customWidth="1" min="7" max="7" width="15.38"/>
    <col customWidth="1" min="10" max="10" width="17.88"/>
    <col customWidth="1" min="11" max="11" width="13.88"/>
  </cols>
  <sheetData>
    <row r="1" ht="22.5" customHeight="1">
      <c r="A1" s="19" t="s">
        <v>17</v>
      </c>
      <c r="B1" s="19" t="s">
        <v>22</v>
      </c>
      <c r="C1" s="19" t="s">
        <v>23</v>
      </c>
      <c r="D1" s="19" t="s">
        <v>25</v>
      </c>
      <c r="E1" s="19" t="s">
        <v>27</v>
      </c>
      <c r="F1" s="19" t="s">
        <v>28</v>
      </c>
      <c r="G1" s="19" t="s">
        <v>31</v>
      </c>
      <c r="H1" s="19" t="s">
        <v>34</v>
      </c>
      <c r="I1" s="19" t="s">
        <v>37</v>
      </c>
      <c r="J1" s="19" t="s">
        <v>38</v>
      </c>
      <c r="K1" s="19" t="s">
        <v>40</v>
      </c>
    </row>
    <row r="2" ht="22.5" customHeight="1">
      <c r="A2" s="22">
        <v>1.0</v>
      </c>
      <c r="B2" s="23" t="s">
        <v>45</v>
      </c>
      <c r="C2" s="25" t="s">
        <v>50</v>
      </c>
      <c r="D2" s="23" t="s">
        <v>52</v>
      </c>
      <c r="F2" s="25" t="s">
        <v>54</v>
      </c>
      <c r="G2" s="22">
        <v>399.0</v>
      </c>
      <c r="J2" s="22">
        <v>1.2</v>
      </c>
      <c r="K2" s="30">
        <f t="shared" ref="K2:K54" si="1">G2*J2</f>
        <v>478.8</v>
      </c>
    </row>
    <row r="3" ht="22.5" customHeight="1">
      <c r="A3" s="22">
        <v>2.0</v>
      </c>
      <c r="B3" s="23" t="s">
        <v>63</v>
      </c>
      <c r="C3" s="25" t="s">
        <v>64</v>
      </c>
      <c r="D3" s="23" t="s">
        <v>65</v>
      </c>
      <c r="F3" s="25" t="s">
        <v>66</v>
      </c>
      <c r="G3" s="22">
        <v>215.0</v>
      </c>
      <c r="J3" s="22">
        <v>0.5</v>
      </c>
      <c r="K3" s="30">
        <f t="shared" si="1"/>
        <v>107.5</v>
      </c>
    </row>
    <row r="4" ht="22.5" customHeight="1">
      <c r="A4" s="22">
        <v>3.0</v>
      </c>
      <c r="B4" s="23" t="s">
        <v>71</v>
      </c>
      <c r="C4" s="25" t="s">
        <v>64</v>
      </c>
      <c r="D4" s="23" t="s">
        <v>65</v>
      </c>
      <c r="F4" s="25" t="s">
        <v>66</v>
      </c>
      <c r="G4" s="22">
        <v>221.0</v>
      </c>
      <c r="J4" s="22">
        <v>0.5</v>
      </c>
      <c r="K4" s="30">
        <f t="shared" si="1"/>
        <v>110.5</v>
      </c>
    </row>
    <row r="5" ht="22.5" customHeight="1">
      <c r="A5" s="22">
        <v>4.0</v>
      </c>
      <c r="B5" s="23" t="s">
        <v>75</v>
      </c>
      <c r="C5" s="25" t="s">
        <v>64</v>
      </c>
      <c r="D5" s="23" t="s">
        <v>65</v>
      </c>
      <c r="F5" s="25" t="s">
        <v>66</v>
      </c>
      <c r="G5" s="22">
        <v>217.0</v>
      </c>
      <c r="J5" s="22">
        <v>0.5</v>
      </c>
      <c r="K5" s="30">
        <f t="shared" si="1"/>
        <v>108.5</v>
      </c>
    </row>
    <row r="6" ht="22.5" customHeight="1">
      <c r="A6" s="22">
        <v>5.0</v>
      </c>
      <c r="B6" s="23" t="s">
        <v>79</v>
      </c>
      <c r="C6" s="25" t="s">
        <v>64</v>
      </c>
      <c r="D6" s="23" t="s">
        <v>65</v>
      </c>
      <c r="F6" s="25" t="s">
        <v>66</v>
      </c>
      <c r="G6" s="22">
        <v>231.0</v>
      </c>
      <c r="J6" s="22">
        <v>0.5</v>
      </c>
      <c r="K6" s="30">
        <f t="shared" si="1"/>
        <v>115.5</v>
      </c>
    </row>
    <row r="7" ht="22.5" customHeight="1">
      <c r="A7" s="22">
        <v>6.0</v>
      </c>
      <c r="B7" s="23" t="s">
        <v>82</v>
      </c>
      <c r="C7" s="25" t="s">
        <v>64</v>
      </c>
      <c r="D7" s="23" t="s">
        <v>65</v>
      </c>
      <c r="F7" s="25" t="s">
        <v>66</v>
      </c>
      <c r="G7" s="22">
        <v>207.0</v>
      </c>
      <c r="J7" s="22">
        <v>0.5</v>
      </c>
      <c r="K7" s="30">
        <f t="shared" si="1"/>
        <v>103.5</v>
      </c>
    </row>
    <row r="8" ht="22.5" customHeight="1">
      <c r="A8" s="22">
        <v>7.0</v>
      </c>
      <c r="B8" s="23" t="s">
        <v>86</v>
      </c>
      <c r="C8" s="25" t="s">
        <v>64</v>
      </c>
      <c r="D8" s="23" t="s">
        <v>65</v>
      </c>
      <c r="F8" s="25" t="s">
        <v>66</v>
      </c>
      <c r="G8" s="22">
        <v>218.0</v>
      </c>
      <c r="J8" s="22">
        <v>0.5</v>
      </c>
      <c r="K8" s="30">
        <f t="shared" si="1"/>
        <v>109</v>
      </c>
    </row>
    <row r="9" ht="22.5" customHeight="1">
      <c r="A9" s="22">
        <v>8.0</v>
      </c>
      <c r="B9" s="23" t="s">
        <v>88</v>
      </c>
      <c r="C9" s="25" t="s">
        <v>64</v>
      </c>
      <c r="D9" s="23" t="s">
        <v>65</v>
      </c>
      <c r="F9" s="25" t="s">
        <v>66</v>
      </c>
      <c r="G9" s="22">
        <v>211.0</v>
      </c>
      <c r="J9" s="22">
        <v>0.5</v>
      </c>
      <c r="K9" s="30">
        <f t="shared" si="1"/>
        <v>105.5</v>
      </c>
    </row>
    <row r="10" ht="22.5" customHeight="1">
      <c r="A10" s="22">
        <v>9.0</v>
      </c>
      <c r="B10" s="23" t="s">
        <v>91</v>
      </c>
      <c r="C10" s="25" t="s">
        <v>64</v>
      </c>
      <c r="D10" s="23" t="s">
        <v>65</v>
      </c>
      <c r="F10" s="25" t="s">
        <v>66</v>
      </c>
      <c r="G10" s="22">
        <v>220.0</v>
      </c>
      <c r="J10" s="22">
        <v>0.5</v>
      </c>
      <c r="K10" s="30">
        <f t="shared" si="1"/>
        <v>110</v>
      </c>
    </row>
    <row r="11" ht="22.5" customHeight="1">
      <c r="A11" s="22">
        <v>10.0</v>
      </c>
      <c r="B11" s="23" t="s">
        <v>96</v>
      </c>
      <c r="C11" s="25" t="s">
        <v>97</v>
      </c>
      <c r="D11" s="23" t="s">
        <v>98</v>
      </c>
      <c r="F11" s="25" t="s">
        <v>54</v>
      </c>
      <c r="G11" s="22">
        <v>351.0</v>
      </c>
      <c r="J11" s="22">
        <v>1.2</v>
      </c>
      <c r="K11" s="30">
        <f t="shared" si="1"/>
        <v>421.2</v>
      </c>
    </row>
    <row r="12" ht="22.5" customHeight="1">
      <c r="A12" s="22">
        <v>11.0</v>
      </c>
      <c r="B12" s="23" t="s">
        <v>100</v>
      </c>
      <c r="C12" s="25" t="s">
        <v>101</v>
      </c>
      <c r="D12" s="23" t="s">
        <v>102</v>
      </c>
      <c r="E12" s="23" t="s">
        <v>100</v>
      </c>
      <c r="F12" s="25" t="s">
        <v>103</v>
      </c>
      <c r="G12" s="22">
        <v>377.0</v>
      </c>
      <c r="J12" s="22">
        <v>1.2</v>
      </c>
      <c r="K12" s="30">
        <f t="shared" si="1"/>
        <v>452.4</v>
      </c>
    </row>
    <row r="13" ht="22.5" customHeight="1">
      <c r="A13" s="22">
        <v>12.0</v>
      </c>
      <c r="B13" s="23" t="s">
        <v>106</v>
      </c>
      <c r="C13" s="25" t="s">
        <v>101</v>
      </c>
      <c r="D13" s="23" t="s">
        <v>102</v>
      </c>
      <c r="E13" s="23" t="s">
        <v>100</v>
      </c>
      <c r="F13" s="25" t="s">
        <v>103</v>
      </c>
      <c r="G13" s="22">
        <v>347.0</v>
      </c>
      <c r="J13" s="22">
        <v>1.0</v>
      </c>
      <c r="K13" s="30">
        <f t="shared" si="1"/>
        <v>347</v>
      </c>
    </row>
    <row r="14" ht="22.5" customHeight="1">
      <c r="A14" s="22">
        <v>13.0</v>
      </c>
      <c r="B14" s="23" t="s">
        <v>107</v>
      </c>
      <c r="C14" s="25" t="s">
        <v>101</v>
      </c>
      <c r="D14" s="23" t="s">
        <v>102</v>
      </c>
      <c r="E14" s="23" t="s">
        <v>100</v>
      </c>
      <c r="F14" s="25" t="s">
        <v>103</v>
      </c>
      <c r="G14" s="22">
        <v>351.0</v>
      </c>
      <c r="J14" s="22">
        <v>1.0</v>
      </c>
      <c r="K14" s="30">
        <f t="shared" si="1"/>
        <v>351</v>
      </c>
    </row>
    <row r="15" ht="22.5" customHeight="1">
      <c r="A15" s="22">
        <v>14.0</v>
      </c>
      <c r="B15" s="23" t="s">
        <v>108</v>
      </c>
      <c r="C15" s="25" t="s">
        <v>101</v>
      </c>
      <c r="D15" s="23" t="s">
        <v>102</v>
      </c>
      <c r="E15" s="23" t="s">
        <v>100</v>
      </c>
      <c r="F15" s="25" t="s">
        <v>103</v>
      </c>
      <c r="G15" s="22">
        <v>350.0</v>
      </c>
      <c r="J15" s="22">
        <v>1.0</v>
      </c>
      <c r="K15" s="30">
        <f t="shared" si="1"/>
        <v>350</v>
      </c>
    </row>
    <row r="16" ht="22.5" customHeight="1">
      <c r="A16" s="22">
        <v>15.0</v>
      </c>
      <c r="B16" s="23" t="s">
        <v>117</v>
      </c>
      <c r="C16" s="25" t="s">
        <v>101</v>
      </c>
      <c r="D16" s="23" t="s">
        <v>102</v>
      </c>
      <c r="E16" s="23" t="s">
        <v>100</v>
      </c>
      <c r="F16" s="25" t="s">
        <v>103</v>
      </c>
      <c r="G16" s="22">
        <v>378.0</v>
      </c>
      <c r="J16" s="22">
        <v>1.0</v>
      </c>
      <c r="K16" s="30">
        <f t="shared" si="1"/>
        <v>378</v>
      </c>
    </row>
    <row r="17" ht="22.5" customHeight="1">
      <c r="A17" s="22">
        <v>16.0</v>
      </c>
      <c r="B17" s="23" t="s">
        <v>123</v>
      </c>
      <c r="C17" s="25" t="s">
        <v>101</v>
      </c>
      <c r="D17" s="23" t="s">
        <v>102</v>
      </c>
      <c r="E17" s="23" t="s">
        <v>124</v>
      </c>
      <c r="F17" s="25" t="s">
        <v>103</v>
      </c>
      <c r="G17" s="22">
        <v>379.0</v>
      </c>
      <c r="J17" s="22">
        <v>1.0</v>
      </c>
      <c r="K17" s="30">
        <f t="shared" si="1"/>
        <v>379</v>
      </c>
    </row>
    <row r="18" ht="22.5" customHeight="1">
      <c r="A18" s="22">
        <v>17.0</v>
      </c>
      <c r="B18" s="23" t="s">
        <v>128</v>
      </c>
      <c r="C18" s="25" t="s">
        <v>101</v>
      </c>
      <c r="D18" s="23" t="s">
        <v>102</v>
      </c>
      <c r="E18" s="23" t="s">
        <v>124</v>
      </c>
      <c r="F18" s="25" t="s">
        <v>103</v>
      </c>
      <c r="G18" s="22">
        <v>347.0</v>
      </c>
      <c r="J18" s="22">
        <v>1.0</v>
      </c>
      <c r="K18" s="30">
        <f t="shared" si="1"/>
        <v>347</v>
      </c>
    </row>
    <row r="19" ht="22.5" customHeight="1">
      <c r="A19" s="22">
        <v>18.0</v>
      </c>
      <c r="B19" s="23" t="s">
        <v>129</v>
      </c>
      <c r="C19" s="25" t="s">
        <v>101</v>
      </c>
      <c r="D19" s="23" t="s">
        <v>102</v>
      </c>
      <c r="E19" s="23" t="s">
        <v>124</v>
      </c>
      <c r="F19" s="25" t="s">
        <v>103</v>
      </c>
      <c r="G19" s="22">
        <v>317.0</v>
      </c>
      <c r="J19" s="22">
        <v>1.0</v>
      </c>
      <c r="K19" s="30">
        <f t="shared" si="1"/>
        <v>317</v>
      </c>
    </row>
    <row r="20" ht="22.5" customHeight="1">
      <c r="A20" s="22">
        <v>19.0</v>
      </c>
      <c r="B20" s="23" t="s">
        <v>130</v>
      </c>
      <c r="C20" s="25" t="s">
        <v>101</v>
      </c>
      <c r="D20" s="23" t="s">
        <v>102</v>
      </c>
      <c r="E20" s="23" t="s">
        <v>124</v>
      </c>
      <c r="F20" s="25" t="s">
        <v>103</v>
      </c>
      <c r="G20" s="22">
        <v>349.0</v>
      </c>
      <c r="J20" s="22">
        <v>1.0</v>
      </c>
      <c r="K20" s="30">
        <f t="shared" si="1"/>
        <v>349</v>
      </c>
    </row>
    <row r="21" ht="22.5" customHeight="1">
      <c r="A21" s="22">
        <v>20.0</v>
      </c>
      <c r="B21" s="23" t="s">
        <v>131</v>
      </c>
      <c r="C21" s="25" t="s">
        <v>101</v>
      </c>
      <c r="D21" s="23" t="s">
        <v>102</v>
      </c>
      <c r="E21" s="23" t="s">
        <v>124</v>
      </c>
      <c r="F21" s="25" t="s">
        <v>103</v>
      </c>
      <c r="G21" s="22">
        <v>444.0</v>
      </c>
      <c r="J21" s="22">
        <v>1.0</v>
      </c>
      <c r="K21" s="30">
        <f t="shared" si="1"/>
        <v>444</v>
      </c>
    </row>
    <row r="22" ht="22.5" customHeight="1">
      <c r="A22" s="22">
        <v>21.0</v>
      </c>
      <c r="B22" s="23" t="s">
        <v>132</v>
      </c>
      <c r="C22" s="25" t="s">
        <v>101</v>
      </c>
      <c r="D22" s="23" t="s">
        <v>102</v>
      </c>
      <c r="E22" s="23" t="s">
        <v>133</v>
      </c>
      <c r="F22" s="25" t="s">
        <v>103</v>
      </c>
      <c r="G22" s="22">
        <v>317.0</v>
      </c>
      <c r="J22" s="22">
        <v>1.0</v>
      </c>
      <c r="K22" s="30">
        <f t="shared" si="1"/>
        <v>317</v>
      </c>
    </row>
    <row r="23" ht="22.5" customHeight="1">
      <c r="A23" s="22">
        <v>22.0</v>
      </c>
      <c r="B23" s="23" t="s">
        <v>134</v>
      </c>
      <c r="C23" s="25" t="s">
        <v>101</v>
      </c>
      <c r="D23" s="23" t="s">
        <v>102</v>
      </c>
      <c r="E23" s="23" t="s">
        <v>133</v>
      </c>
      <c r="F23" s="25" t="s">
        <v>103</v>
      </c>
      <c r="G23" s="22">
        <v>281.0</v>
      </c>
      <c r="J23" s="22">
        <v>1.0</v>
      </c>
      <c r="K23" s="30">
        <f t="shared" si="1"/>
        <v>281</v>
      </c>
    </row>
    <row r="24" ht="22.5" customHeight="1">
      <c r="A24" s="22">
        <v>23.0</v>
      </c>
      <c r="B24" s="23" t="s">
        <v>135</v>
      </c>
      <c r="C24" s="25" t="s">
        <v>101</v>
      </c>
      <c r="D24" s="23" t="s">
        <v>102</v>
      </c>
      <c r="E24" s="23" t="s">
        <v>133</v>
      </c>
      <c r="F24" s="25" t="s">
        <v>103</v>
      </c>
      <c r="G24" s="22">
        <v>316.0</v>
      </c>
      <c r="J24" s="22">
        <v>1.0</v>
      </c>
      <c r="K24" s="30">
        <f t="shared" si="1"/>
        <v>316</v>
      </c>
    </row>
    <row r="25" ht="22.5" customHeight="1">
      <c r="A25" s="22">
        <v>24.0</v>
      </c>
      <c r="B25" s="23" t="s">
        <v>136</v>
      </c>
      <c r="C25" s="25" t="s">
        <v>101</v>
      </c>
      <c r="D25" s="23" t="s">
        <v>102</v>
      </c>
      <c r="E25" s="23" t="s">
        <v>133</v>
      </c>
      <c r="F25" s="25" t="s">
        <v>103</v>
      </c>
      <c r="G25" s="22">
        <v>316.0</v>
      </c>
      <c r="J25" s="22">
        <v>1.0</v>
      </c>
      <c r="K25" s="30">
        <f t="shared" si="1"/>
        <v>316</v>
      </c>
    </row>
    <row r="26" ht="22.5" customHeight="1">
      <c r="A26" s="22">
        <v>25.0</v>
      </c>
      <c r="B26" s="23" t="s">
        <v>137</v>
      </c>
      <c r="C26" s="25" t="s">
        <v>101</v>
      </c>
      <c r="D26" s="23" t="s">
        <v>102</v>
      </c>
      <c r="E26" s="23" t="s">
        <v>133</v>
      </c>
      <c r="F26" s="25" t="s">
        <v>103</v>
      </c>
      <c r="G26" s="22">
        <v>351.0</v>
      </c>
      <c r="J26" s="22">
        <v>1.0</v>
      </c>
      <c r="K26" s="30">
        <f t="shared" si="1"/>
        <v>351</v>
      </c>
    </row>
    <row r="27" ht="22.5" customHeight="1">
      <c r="A27" s="22">
        <v>26.0</v>
      </c>
      <c r="B27" s="23" t="s">
        <v>138</v>
      </c>
      <c r="C27" s="25" t="s">
        <v>101</v>
      </c>
      <c r="D27" s="23" t="s">
        <v>102</v>
      </c>
      <c r="E27" s="23" t="s">
        <v>139</v>
      </c>
      <c r="F27" s="25" t="s">
        <v>103</v>
      </c>
      <c r="G27" s="22">
        <v>220.0</v>
      </c>
      <c r="J27" s="22">
        <v>1.0</v>
      </c>
      <c r="K27" s="30">
        <f t="shared" si="1"/>
        <v>220</v>
      </c>
    </row>
    <row r="28" ht="22.5" customHeight="1">
      <c r="A28" s="22">
        <v>27.0</v>
      </c>
      <c r="B28" s="23" t="s">
        <v>140</v>
      </c>
      <c r="C28" s="25" t="s">
        <v>101</v>
      </c>
      <c r="D28" s="23" t="s">
        <v>102</v>
      </c>
      <c r="E28" s="23" t="s">
        <v>141</v>
      </c>
      <c r="F28" s="25" t="s">
        <v>103</v>
      </c>
      <c r="G28" s="22">
        <v>445.0</v>
      </c>
      <c r="J28" s="22">
        <v>1.0</v>
      </c>
      <c r="K28" s="30">
        <f t="shared" si="1"/>
        <v>445</v>
      </c>
    </row>
    <row r="29" ht="22.5" customHeight="1">
      <c r="A29" s="22">
        <v>28.0</v>
      </c>
      <c r="B29" s="23" t="s">
        <v>142</v>
      </c>
      <c r="C29" s="25" t="s">
        <v>101</v>
      </c>
      <c r="D29" s="23" t="s">
        <v>102</v>
      </c>
      <c r="E29" s="23" t="s">
        <v>141</v>
      </c>
      <c r="F29" s="25" t="s">
        <v>103</v>
      </c>
      <c r="G29" s="22">
        <v>542.0</v>
      </c>
      <c r="J29" s="22">
        <v>1.0</v>
      </c>
      <c r="K29" s="30">
        <f t="shared" si="1"/>
        <v>542</v>
      </c>
    </row>
    <row r="30" ht="22.5" customHeight="1">
      <c r="A30" s="22">
        <v>29.0</v>
      </c>
      <c r="B30" s="23" t="s">
        <v>143</v>
      </c>
      <c r="C30" s="25" t="s">
        <v>50</v>
      </c>
      <c r="D30" s="23" t="s">
        <v>52</v>
      </c>
      <c r="F30" s="25" t="s">
        <v>54</v>
      </c>
      <c r="G30" s="22">
        <v>511.0</v>
      </c>
      <c r="J30" s="22">
        <v>1.0</v>
      </c>
      <c r="K30" s="30">
        <f t="shared" si="1"/>
        <v>511</v>
      </c>
    </row>
    <row r="31" ht="22.5" customHeight="1">
      <c r="A31" s="22">
        <v>30.0</v>
      </c>
      <c r="B31" s="23" t="s">
        <v>144</v>
      </c>
      <c r="C31" s="25" t="s">
        <v>145</v>
      </c>
      <c r="D31" s="23" t="s">
        <v>146</v>
      </c>
      <c r="F31" s="25" t="s">
        <v>54</v>
      </c>
      <c r="G31" s="22">
        <v>407.0</v>
      </c>
      <c r="J31" s="22">
        <v>1.0</v>
      </c>
      <c r="K31" s="30">
        <f t="shared" si="1"/>
        <v>407</v>
      </c>
    </row>
    <row r="32" ht="22.5" customHeight="1">
      <c r="A32" s="22">
        <v>31.0</v>
      </c>
      <c r="B32" s="23" t="s">
        <v>147</v>
      </c>
      <c r="C32" s="25" t="s">
        <v>145</v>
      </c>
      <c r="D32" s="23" t="s">
        <v>146</v>
      </c>
      <c r="F32" s="25" t="s">
        <v>54</v>
      </c>
      <c r="G32" s="22">
        <v>409.0</v>
      </c>
      <c r="J32" s="22">
        <v>1.0</v>
      </c>
      <c r="K32" s="30">
        <f t="shared" si="1"/>
        <v>409</v>
      </c>
    </row>
    <row r="33" ht="22.5" customHeight="1">
      <c r="A33" s="22">
        <v>32.0</v>
      </c>
      <c r="B33" s="23" t="s">
        <v>148</v>
      </c>
      <c r="C33" s="25" t="s">
        <v>145</v>
      </c>
      <c r="D33" s="23" t="s">
        <v>146</v>
      </c>
      <c r="F33" s="25" t="s">
        <v>54</v>
      </c>
      <c r="G33" s="22">
        <v>471.0</v>
      </c>
      <c r="J33" s="22">
        <v>1.0</v>
      </c>
      <c r="K33" s="30">
        <f t="shared" si="1"/>
        <v>471</v>
      </c>
    </row>
    <row r="34" ht="22.5" customHeight="1">
      <c r="A34" s="22">
        <v>33.0</v>
      </c>
      <c r="B34" s="23" t="s">
        <v>149</v>
      </c>
      <c r="C34" s="25" t="s">
        <v>145</v>
      </c>
      <c r="D34" s="23" t="s">
        <v>146</v>
      </c>
      <c r="F34" s="25" t="s">
        <v>54</v>
      </c>
      <c r="G34" s="22">
        <v>476.0</v>
      </c>
      <c r="J34" s="22">
        <v>1.0</v>
      </c>
      <c r="K34" s="30">
        <f t="shared" si="1"/>
        <v>476</v>
      </c>
    </row>
    <row r="35" ht="22.5" customHeight="1">
      <c r="A35" s="22">
        <v>34.0</v>
      </c>
      <c r="B35" s="23" t="s">
        <v>150</v>
      </c>
      <c r="C35" s="25" t="s">
        <v>151</v>
      </c>
      <c r="D35" s="23" t="s">
        <v>152</v>
      </c>
      <c r="E35" s="23" t="s">
        <v>153</v>
      </c>
      <c r="F35" s="25" t="s">
        <v>154</v>
      </c>
      <c r="G35" s="22">
        <v>319.0</v>
      </c>
      <c r="J35" s="22">
        <v>1.0</v>
      </c>
      <c r="K35" s="30">
        <f t="shared" si="1"/>
        <v>319</v>
      </c>
    </row>
    <row r="36" ht="22.5" customHeight="1">
      <c r="A36" s="22">
        <v>35.0</v>
      </c>
      <c r="B36" s="23" t="s">
        <v>155</v>
      </c>
      <c r="C36" s="25" t="s">
        <v>151</v>
      </c>
      <c r="D36" s="23" t="s">
        <v>152</v>
      </c>
      <c r="E36" s="23" t="s">
        <v>156</v>
      </c>
      <c r="F36" s="25" t="s">
        <v>154</v>
      </c>
      <c r="G36" s="22">
        <v>346.0</v>
      </c>
      <c r="J36" s="22">
        <v>1.0</v>
      </c>
      <c r="K36" s="30">
        <f t="shared" si="1"/>
        <v>346</v>
      </c>
    </row>
    <row r="37" ht="22.5" customHeight="1">
      <c r="A37" s="22">
        <v>36.0</v>
      </c>
      <c r="B37" s="23" t="s">
        <v>157</v>
      </c>
      <c r="C37" s="25" t="s">
        <v>151</v>
      </c>
      <c r="D37" s="23" t="s">
        <v>152</v>
      </c>
      <c r="E37" s="23" t="s">
        <v>156</v>
      </c>
      <c r="F37" s="25" t="s">
        <v>154</v>
      </c>
      <c r="G37" s="22">
        <v>381.0</v>
      </c>
      <c r="J37" s="22">
        <v>1.0</v>
      </c>
      <c r="K37" s="30">
        <f t="shared" si="1"/>
        <v>381</v>
      </c>
    </row>
    <row r="38" ht="22.5" customHeight="1">
      <c r="A38" s="22">
        <v>37.0</v>
      </c>
      <c r="B38" s="23" t="s">
        <v>158</v>
      </c>
      <c r="C38" s="25" t="s">
        <v>151</v>
      </c>
      <c r="D38" s="23" t="s">
        <v>152</v>
      </c>
      <c r="E38" s="23" t="s">
        <v>156</v>
      </c>
      <c r="F38" s="25" t="s">
        <v>154</v>
      </c>
      <c r="G38" s="22">
        <v>314.0</v>
      </c>
      <c r="J38" s="22">
        <v>1.0</v>
      </c>
      <c r="K38" s="30">
        <f t="shared" si="1"/>
        <v>314</v>
      </c>
    </row>
    <row r="39" ht="22.5" customHeight="1">
      <c r="A39" s="22">
        <v>38.0</v>
      </c>
      <c r="B39" s="23" t="s">
        <v>159</v>
      </c>
      <c r="C39" s="25" t="s">
        <v>151</v>
      </c>
      <c r="D39" s="23" t="s">
        <v>152</v>
      </c>
      <c r="E39" s="23" t="s">
        <v>156</v>
      </c>
      <c r="F39" s="25" t="s">
        <v>154</v>
      </c>
      <c r="G39" s="22">
        <v>317.0</v>
      </c>
      <c r="J39" s="22">
        <v>1.0</v>
      </c>
      <c r="K39" s="30">
        <f t="shared" si="1"/>
        <v>317</v>
      </c>
    </row>
    <row r="40" ht="22.5" customHeight="1">
      <c r="A40" s="22">
        <v>39.0</v>
      </c>
      <c r="B40" s="23" t="s">
        <v>160</v>
      </c>
      <c r="C40" s="25" t="s">
        <v>151</v>
      </c>
      <c r="D40" s="23" t="s">
        <v>152</v>
      </c>
      <c r="E40" s="23" t="s">
        <v>156</v>
      </c>
      <c r="F40" s="25" t="s">
        <v>154</v>
      </c>
      <c r="G40" s="22">
        <v>317.0</v>
      </c>
      <c r="J40" s="22">
        <v>1.0</v>
      </c>
      <c r="K40" s="30">
        <f t="shared" si="1"/>
        <v>317</v>
      </c>
    </row>
    <row r="41" ht="22.5" customHeight="1">
      <c r="A41" s="22">
        <v>40.0</v>
      </c>
      <c r="C41" s="25" t="s">
        <v>151</v>
      </c>
      <c r="D41" s="23" t="s">
        <v>152</v>
      </c>
      <c r="E41" s="23" t="s">
        <v>156</v>
      </c>
      <c r="F41" s="25" t="s">
        <v>154</v>
      </c>
      <c r="G41" s="22">
        <v>1.0</v>
      </c>
      <c r="J41" s="22">
        <v>1.0</v>
      </c>
      <c r="K41" s="30">
        <f t="shared" si="1"/>
        <v>1</v>
      </c>
    </row>
    <row r="42" ht="22.5" customHeight="1">
      <c r="A42" s="22">
        <v>41.0</v>
      </c>
      <c r="B42" s="23" t="s">
        <v>161</v>
      </c>
      <c r="C42" s="25" t="s">
        <v>162</v>
      </c>
      <c r="D42" s="23" t="s">
        <v>163</v>
      </c>
      <c r="F42" s="25" t="s">
        <v>66</v>
      </c>
      <c r="G42" s="22">
        <v>89.0</v>
      </c>
      <c r="J42" s="22">
        <v>1.2</v>
      </c>
      <c r="K42" s="30">
        <f t="shared" si="1"/>
        <v>106.8</v>
      </c>
    </row>
    <row r="43" ht="22.5" customHeight="1">
      <c r="A43" s="22">
        <v>42.0</v>
      </c>
      <c r="B43" s="23" t="s">
        <v>164</v>
      </c>
      <c r="C43" s="25" t="s">
        <v>162</v>
      </c>
      <c r="D43" s="23" t="s">
        <v>163</v>
      </c>
      <c r="F43" s="25" t="s">
        <v>66</v>
      </c>
      <c r="G43" s="22">
        <f>171-89</f>
        <v>82</v>
      </c>
      <c r="J43" s="22">
        <v>1.2</v>
      </c>
      <c r="K43" s="30">
        <f t="shared" si="1"/>
        <v>98.4</v>
      </c>
    </row>
    <row r="44" ht="22.5" customHeight="1">
      <c r="A44" s="22">
        <v>43.0</v>
      </c>
      <c r="B44" s="23" t="s">
        <v>165</v>
      </c>
      <c r="C44" s="25" t="s">
        <v>162</v>
      </c>
      <c r="D44" s="23" t="s">
        <v>163</v>
      </c>
      <c r="F44" s="25" t="s">
        <v>66</v>
      </c>
      <c r="G44" s="22">
        <f>299-171</f>
        <v>128</v>
      </c>
      <c r="J44" s="22">
        <v>1.2</v>
      </c>
      <c r="K44" s="30">
        <f t="shared" si="1"/>
        <v>153.6</v>
      </c>
    </row>
    <row r="45" ht="22.5" customHeight="1">
      <c r="A45" s="22">
        <v>44.0</v>
      </c>
      <c r="B45" s="23" t="s">
        <v>166</v>
      </c>
      <c r="C45" s="25" t="s">
        <v>162</v>
      </c>
      <c r="D45" s="23" t="s">
        <v>163</v>
      </c>
      <c r="F45" s="25" t="s">
        <v>66</v>
      </c>
      <c r="G45" s="22">
        <f>519-300</f>
        <v>219</v>
      </c>
      <c r="J45" s="22">
        <v>1.2</v>
      </c>
      <c r="K45" s="30">
        <f t="shared" si="1"/>
        <v>262.8</v>
      </c>
    </row>
    <row r="46" ht="22.5" customHeight="1">
      <c r="A46" s="22">
        <v>45.0</v>
      </c>
      <c r="B46" s="23" t="s">
        <v>167</v>
      </c>
      <c r="C46" s="25" t="s">
        <v>168</v>
      </c>
      <c r="F46" s="25" t="s">
        <v>154</v>
      </c>
      <c r="G46" s="22">
        <v>250.0</v>
      </c>
      <c r="J46" s="22">
        <v>5.0</v>
      </c>
      <c r="K46" s="30">
        <f t="shared" si="1"/>
        <v>1250</v>
      </c>
    </row>
    <row r="47" ht="22.5" customHeight="1">
      <c r="A47" s="22">
        <v>46.0</v>
      </c>
      <c r="B47" s="23" t="s">
        <v>169</v>
      </c>
      <c r="C47" s="25" t="s">
        <v>170</v>
      </c>
      <c r="D47" s="23" t="s">
        <v>171</v>
      </c>
      <c r="F47" s="25" t="s">
        <v>172</v>
      </c>
      <c r="G47" s="22">
        <v>320.0</v>
      </c>
      <c r="J47" s="22">
        <v>1.0</v>
      </c>
      <c r="K47" s="30">
        <f t="shared" si="1"/>
        <v>320</v>
      </c>
    </row>
    <row r="48" ht="22.5" customHeight="1">
      <c r="A48" s="22">
        <v>47.0</v>
      </c>
      <c r="B48" s="23" t="s">
        <v>173</v>
      </c>
      <c r="C48" s="25" t="s">
        <v>174</v>
      </c>
      <c r="D48" s="23" t="s">
        <v>175</v>
      </c>
      <c r="F48" s="25" t="s">
        <v>176</v>
      </c>
      <c r="G48" s="22">
        <v>352.0</v>
      </c>
      <c r="J48" s="22">
        <v>1.0</v>
      </c>
      <c r="K48" s="30">
        <f t="shared" si="1"/>
        <v>352</v>
      </c>
    </row>
    <row r="49" ht="22.5" customHeight="1">
      <c r="A49" s="22">
        <v>48.0</v>
      </c>
      <c r="B49" s="23" t="s">
        <v>177</v>
      </c>
      <c r="C49" s="25" t="s">
        <v>174</v>
      </c>
      <c r="D49" s="23" t="s">
        <v>175</v>
      </c>
      <c r="F49" s="25" t="s">
        <v>176</v>
      </c>
      <c r="G49" s="22">
        <v>448.0</v>
      </c>
      <c r="J49" s="22">
        <v>1.0</v>
      </c>
      <c r="K49" s="30">
        <f t="shared" si="1"/>
        <v>448</v>
      </c>
    </row>
    <row r="50" ht="22.5" customHeight="1">
      <c r="A50" s="22">
        <v>49.0</v>
      </c>
      <c r="B50" s="23" t="s">
        <v>178</v>
      </c>
      <c r="C50" s="25" t="s">
        <v>174</v>
      </c>
      <c r="D50" s="23" t="s">
        <v>175</v>
      </c>
      <c r="F50" s="25" t="s">
        <v>176</v>
      </c>
      <c r="G50" s="22">
        <v>384.0</v>
      </c>
      <c r="J50" s="22">
        <v>1.0</v>
      </c>
      <c r="K50" s="30">
        <f t="shared" si="1"/>
        <v>384</v>
      </c>
    </row>
    <row r="51" ht="22.5" customHeight="1">
      <c r="A51" s="22">
        <v>50.0</v>
      </c>
      <c r="B51" s="23" t="s">
        <v>179</v>
      </c>
      <c r="C51" s="25" t="s">
        <v>174</v>
      </c>
      <c r="D51" s="23" t="s">
        <v>175</v>
      </c>
      <c r="F51" s="25" t="s">
        <v>176</v>
      </c>
      <c r="G51" s="22">
        <v>560.0</v>
      </c>
      <c r="J51" s="22">
        <v>1.0</v>
      </c>
      <c r="K51" s="30">
        <f t="shared" si="1"/>
        <v>560</v>
      </c>
    </row>
    <row r="52" ht="22.5" customHeight="1">
      <c r="A52" s="22">
        <v>51.0</v>
      </c>
      <c r="B52" s="23" t="s">
        <v>180</v>
      </c>
      <c r="C52" s="25" t="s">
        <v>170</v>
      </c>
      <c r="F52" s="25" t="s">
        <v>172</v>
      </c>
      <c r="G52" s="22">
        <v>288.0</v>
      </c>
      <c r="J52" s="22">
        <v>1.0</v>
      </c>
      <c r="K52" s="30">
        <f t="shared" si="1"/>
        <v>288</v>
      </c>
    </row>
    <row r="53" ht="22.5" customHeight="1">
      <c r="A53" s="22">
        <v>52.0</v>
      </c>
      <c r="B53" s="23" t="s">
        <v>181</v>
      </c>
      <c r="C53" s="25" t="s">
        <v>170</v>
      </c>
      <c r="F53" s="25" t="s">
        <v>172</v>
      </c>
      <c r="G53" s="22">
        <v>304.0</v>
      </c>
      <c r="J53" s="22">
        <v>1.0</v>
      </c>
      <c r="K53" s="30">
        <f t="shared" si="1"/>
        <v>304</v>
      </c>
    </row>
    <row r="54" ht="22.5" customHeight="1">
      <c r="A54" s="22">
        <v>53.0</v>
      </c>
      <c r="B54" s="23" t="s">
        <v>182</v>
      </c>
      <c r="C54" s="25" t="s">
        <v>170</v>
      </c>
      <c r="F54" s="25" t="s">
        <v>172</v>
      </c>
      <c r="G54" s="22">
        <v>288.0</v>
      </c>
      <c r="J54" s="22">
        <v>1.0</v>
      </c>
      <c r="K54" s="30">
        <f t="shared" si="1"/>
        <v>288</v>
      </c>
    </row>
    <row r="55" ht="22.5" customHeight="1">
      <c r="A55" s="22">
        <v>54.0</v>
      </c>
      <c r="B55" s="23" t="s">
        <v>183</v>
      </c>
      <c r="C55" s="25" t="s">
        <v>170</v>
      </c>
      <c r="F55" s="25" t="s">
        <v>172</v>
      </c>
      <c r="G55" s="22">
        <v>288.0</v>
      </c>
      <c r="J55" s="30"/>
      <c r="K55" s="30"/>
    </row>
  </sheetData>
  <dataValidations>
    <dataValidation type="list" allowBlank="1" showDropDown="1" showErrorMessage="1" sqref="F2:F55">
      <formula1>"Маги,Детектив,Фэнтези,Приключения,Ужасы,Фентези"</formula1>
    </dataValidation>
    <dataValidation type="custom" allowBlank="1" showDropDown="1" sqref="A2:A55 G2:G55 J2:K55">
      <formula1>AND(ISNUMBER(A2),(NOT(OR(NOT(ISERROR(DATEVALUE(A2))), AND(ISNUMBER(A2), LEFT(CELL("format", A2))="D")))))</formula1>
    </dataValidation>
    <dataValidation type="list" allowBlank="1" showDropDown="1" showErrorMessage="1" sqref="C2:C55">
      <formula1>"Роман, Дж.К. Роулинг,Холли Вебб,Дмитрий Емцов ,Туи Сазерленд,Муни Витчер,Эрин Хантер,Анна Старобинец,Даниэль Дефо,Влад Райбер,Эндрю Питерсон"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3" max="3" width="6.5"/>
    <col customWidth="1" min="5" max="5" width="48.5"/>
    <col customWidth="1" min="6" max="6" width="10.25"/>
    <col customWidth="1" min="7" max="7" width="13.63"/>
  </cols>
  <sheetData>
    <row r="1">
      <c r="A1" s="1" t="s">
        <v>0</v>
      </c>
      <c r="B1" s="10">
        <f>SUM('Читалка'!K2:K151)</f>
        <v>17357</v>
      </c>
      <c r="F1" s="3"/>
      <c r="G1" s="3"/>
    </row>
    <row r="2">
      <c r="A2" s="1" t="s">
        <v>1</v>
      </c>
      <c r="B2" s="15">
        <f>SUM(F6:F202)+B1</f>
        <v>2038</v>
      </c>
      <c r="F2" s="3"/>
      <c r="G2" s="3"/>
    </row>
    <row r="3">
      <c r="B3" s="3"/>
      <c r="F3" s="3"/>
      <c r="G3" s="3"/>
    </row>
    <row r="4">
      <c r="A4" s="5" t="s">
        <v>2</v>
      </c>
      <c r="B4" s="6"/>
      <c r="E4" s="5" t="s">
        <v>3</v>
      </c>
      <c r="F4" s="7"/>
      <c r="G4" s="6"/>
    </row>
    <row r="5">
      <c r="A5" s="8" t="s">
        <v>4</v>
      </c>
      <c r="B5" s="9" t="s">
        <v>5</v>
      </c>
      <c r="E5" s="8" t="s">
        <v>4</v>
      </c>
      <c r="F5" s="9" t="s">
        <v>6</v>
      </c>
      <c r="G5" s="9" t="s">
        <v>7</v>
      </c>
    </row>
    <row r="6">
      <c r="A6" s="8" t="s">
        <v>18</v>
      </c>
      <c r="B6" s="9">
        <v>50.0</v>
      </c>
      <c r="E6" s="8" t="s">
        <v>19</v>
      </c>
      <c r="F6" s="9">
        <v>-300.0</v>
      </c>
      <c r="G6" s="13"/>
    </row>
    <row r="7">
      <c r="A7" s="8" t="s">
        <v>20</v>
      </c>
      <c r="B7" s="9">
        <v>150.0</v>
      </c>
      <c r="E7" s="8" t="s">
        <v>21</v>
      </c>
      <c r="F7" s="9">
        <v>-100.0</v>
      </c>
      <c r="G7" s="13"/>
    </row>
    <row r="8">
      <c r="A8" s="8" t="s">
        <v>26</v>
      </c>
      <c r="B8" s="9">
        <v>75.0</v>
      </c>
      <c r="E8" s="8" t="s">
        <v>21</v>
      </c>
      <c r="F8" s="9">
        <v>-100.0</v>
      </c>
      <c r="G8" s="13"/>
    </row>
    <row r="9">
      <c r="A9" s="8" t="s">
        <v>29</v>
      </c>
      <c r="B9" s="9">
        <v>100.0</v>
      </c>
      <c r="E9" s="8" t="s">
        <v>30</v>
      </c>
      <c r="F9" s="9">
        <v>-13000.0</v>
      </c>
      <c r="G9" s="13"/>
    </row>
    <row r="10">
      <c r="A10" s="8" t="s">
        <v>32</v>
      </c>
      <c r="B10" s="9">
        <v>100.0</v>
      </c>
      <c r="E10" s="8" t="s">
        <v>35</v>
      </c>
      <c r="F10" s="9">
        <v>-619.0</v>
      </c>
      <c r="G10" s="13"/>
    </row>
    <row r="11">
      <c r="A11" s="8" t="s">
        <v>36</v>
      </c>
      <c r="B11" s="9">
        <v>120.0</v>
      </c>
      <c r="E11" s="8" t="s">
        <v>13</v>
      </c>
      <c r="F11" s="9">
        <v>-300.0</v>
      </c>
      <c r="G11" s="13"/>
    </row>
    <row r="12">
      <c r="A12" s="8" t="s">
        <v>14</v>
      </c>
      <c r="B12" s="9">
        <v>800.0</v>
      </c>
      <c r="E12" s="8" t="s">
        <v>32</v>
      </c>
      <c r="F12" s="9">
        <v>-100.0</v>
      </c>
      <c r="G12" s="13"/>
    </row>
    <row r="13">
      <c r="A13" s="8" t="s">
        <v>41</v>
      </c>
      <c r="B13" s="9">
        <v>1000.0</v>
      </c>
      <c r="E13" s="8" t="s">
        <v>32</v>
      </c>
      <c r="F13" s="9">
        <v>-100.0</v>
      </c>
      <c r="G13" s="13"/>
    </row>
    <row r="14">
      <c r="A14" s="17" t="s">
        <v>15</v>
      </c>
      <c r="B14" s="18">
        <v>2500.0</v>
      </c>
      <c r="E14" s="8" t="s">
        <v>32</v>
      </c>
      <c r="F14" s="9">
        <v>-100.0</v>
      </c>
      <c r="G14" s="13"/>
    </row>
    <row r="15">
      <c r="A15" s="17" t="s">
        <v>16</v>
      </c>
      <c r="B15" s="18">
        <v>5000.0</v>
      </c>
      <c r="E15" s="8" t="s">
        <v>32</v>
      </c>
      <c r="F15" s="9">
        <v>-100.0</v>
      </c>
      <c r="G15" s="13"/>
    </row>
    <row r="16">
      <c r="E16" s="8" t="s">
        <v>32</v>
      </c>
      <c r="F16" s="9">
        <v>-100.0</v>
      </c>
      <c r="G16" s="13"/>
    </row>
    <row r="17">
      <c r="A17" s="8"/>
      <c r="B17" s="9"/>
      <c r="E17" s="8" t="s">
        <v>32</v>
      </c>
      <c r="F17" s="9">
        <v>-100.0</v>
      </c>
      <c r="G17" s="13"/>
    </row>
    <row r="18">
      <c r="E18" s="8" t="s">
        <v>26</v>
      </c>
      <c r="F18" s="9">
        <v>-75.0</v>
      </c>
      <c r="G18" s="13"/>
    </row>
    <row r="19">
      <c r="E19" s="8" t="s">
        <v>26</v>
      </c>
      <c r="F19" s="9">
        <v>-75.0</v>
      </c>
      <c r="G19" s="13"/>
    </row>
    <row r="20">
      <c r="B20" s="3"/>
      <c r="E20" s="8" t="s">
        <v>20</v>
      </c>
      <c r="F20" s="29">
        <v>-150.0</v>
      </c>
      <c r="G20" s="3"/>
    </row>
    <row r="21">
      <c r="B21" s="3"/>
      <c r="F21" s="3"/>
      <c r="G21" s="3"/>
    </row>
    <row r="22">
      <c r="B22" s="3"/>
      <c r="F22" s="3"/>
      <c r="G22" s="3"/>
    </row>
    <row r="23">
      <c r="B23" s="3"/>
      <c r="F23" s="3"/>
      <c r="G23" s="3"/>
    </row>
    <row r="24">
      <c r="B24" s="3"/>
      <c r="F24" s="3"/>
      <c r="G24" s="3"/>
    </row>
    <row r="25">
      <c r="B25" s="3"/>
      <c r="F25" s="3"/>
      <c r="G25" s="3"/>
    </row>
    <row r="26">
      <c r="B26" s="3"/>
      <c r="F26" s="3"/>
      <c r="G26" s="3"/>
    </row>
    <row r="27">
      <c r="B27" s="3"/>
      <c r="F27" s="3"/>
      <c r="G27" s="3"/>
    </row>
    <row r="28">
      <c r="B28" s="3"/>
      <c r="F28" s="3"/>
      <c r="G28" s="3"/>
    </row>
    <row r="29">
      <c r="B29" s="3"/>
      <c r="F29" s="3"/>
      <c r="G29" s="3"/>
    </row>
    <row r="30">
      <c r="B30" s="3"/>
      <c r="F30" s="3"/>
      <c r="G30" s="3"/>
    </row>
    <row r="31">
      <c r="B31" s="3"/>
      <c r="F31" s="3"/>
      <c r="G31" s="3"/>
    </row>
    <row r="32">
      <c r="B32" s="3"/>
      <c r="F32" s="3"/>
      <c r="G32" s="3"/>
    </row>
    <row r="33">
      <c r="B33" s="3"/>
      <c r="F33" s="3"/>
      <c r="G33" s="3"/>
    </row>
    <row r="34">
      <c r="B34" s="3"/>
      <c r="F34" s="3"/>
      <c r="G34" s="3"/>
    </row>
    <row r="35">
      <c r="B35" s="3"/>
      <c r="F35" s="3"/>
      <c r="G35" s="3"/>
    </row>
    <row r="36">
      <c r="B36" s="3"/>
      <c r="F36" s="3"/>
      <c r="G36" s="3"/>
    </row>
    <row r="37">
      <c r="B37" s="3"/>
      <c r="F37" s="3"/>
      <c r="G37" s="3"/>
    </row>
    <row r="38">
      <c r="B38" s="3"/>
      <c r="F38" s="3"/>
      <c r="G38" s="3"/>
    </row>
    <row r="39">
      <c r="B39" s="3"/>
      <c r="F39" s="3"/>
      <c r="G39" s="3"/>
    </row>
    <row r="40">
      <c r="B40" s="3"/>
      <c r="F40" s="3"/>
      <c r="G40" s="3"/>
    </row>
    <row r="41">
      <c r="B41" s="3"/>
      <c r="F41" s="3"/>
      <c r="G41" s="3"/>
    </row>
    <row r="42">
      <c r="B42" s="3"/>
      <c r="F42" s="3"/>
      <c r="G42" s="3"/>
    </row>
    <row r="43">
      <c r="B43" s="3"/>
      <c r="F43" s="3"/>
      <c r="G43" s="3"/>
    </row>
    <row r="44">
      <c r="B44" s="3"/>
      <c r="F44" s="3"/>
      <c r="G44" s="3"/>
    </row>
    <row r="45">
      <c r="B45" s="3"/>
      <c r="F45" s="3"/>
      <c r="G45" s="3"/>
    </row>
    <row r="46">
      <c r="B46" s="3"/>
      <c r="F46" s="3"/>
      <c r="G46" s="3"/>
    </row>
    <row r="47">
      <c r="B47" s="3"/>
      <c r="F47" s="3"/>
      <c r="G47" s="3"/>
    </row>
    <row r="48">
      <c r="B48" s="3"/>
      <c r="F48" s="3"/>
      <c r="G48" s="3"/>
    </row>
    <row r="49">
      <c r="B49" s="3"/>
      <c r="F49" s="3"/>
      <c r="G49" s="3"/>
    </row>
    <row r="50">
      <c r="B50" s="3"/>
      <c r="F50" s="3"/>
      <c r="G50" s="3"/>
    </row>
    <row r="51">
      <c r="B51" s="3"/>
      <c r="F51" s="3"/>
      <c r="G51" s="3"/>
    </row>
    <row r="52">
      <c r="B52" s="3"/>
      <c r="F52" s="3"/>
      <c r="G52" s="3"/>
    </row>
    <row r="53">
      <c r="B53" s="3"/>
      <c r="F53" s="3"/>
      <c r="G53" s="3"/>
    </row>
    <row r="54">
      <c r="B54" s="3"/>
      <c r="F54" s="3"/>
      <c r="G54" s="3"/>
    </row>
    <row r="55">
      <c r="B55" s="3"/>
      <c r="F55" s="3"/>
      <c r="G55" s="3"/>
    </row>
    <row r="56">
      <c r="B56" s="3"/>
      <c r="F56" s="3"/>
      <c r="G56" s="3"/>
    </row>
    <row r="57">
      <c r="B57" s="3"/>
      <c r="F57" s="3"/>
      <c r="G57" s="3"/>
    </row>
    <row r="58">
      <c r="B58" s="3"/>
      <c r="F58" s="3"/>
      <c r="G58" s="3"/>
    </row>
    <row r="59">
      <c r="B59" s="3"/>
      <c r="F59" s="3"/>
      <c r="G59" s="3"/>
    </row>
    <row r="60">
      <c r="B60" s="3"/>
      <c r="F60" s="3"/>
      <c r="G60" s="3"/>
    </row>
    <row r="61">
      <c r="B61" s="3"/>
      <c r="F61" s="3"/>
      <c r="G61" s="3"/>
    </row>
    <row r="62">
      <c r="B62" s="3"/>
      <c r="F62" s="3"/>
      <c r="G62" s="3"/>
    </row>
    <row r="63">
      <c r="B63" s="3"/>
      <c r="F63" s="3"/>
      <c r="G63" s="3"/>
    </row>
    <row r="64">
      <c r="B64" s="3"/>
      <c r="F64" s="3"/>
      <c r="G64" s="3"/>
    </row>
    <row r="65">
      <c r="B65" s="3"/>
      <c r="F65" s="3"/>
      <c r="G65" s="3"/>
    </row>
    <row r="66">
      <c r="B66" s="3"/>
      <c r="F66" s="3"/>
      <c r="G66" s="3"/>
    </row>
    <row r="67">
      <c r="B67" s="3"/>
      <c r="F67" s="3"/>
      <c r="G67" s="3"/>
    </row>
    <row r="68">
      <c r="B68" s="3"/>
      <c r="F68" s="3"/>
      <c r="G68" s="3"/>
    </row>
    <row r="69">
      <c r="B69" s="3"/>
      <c r="F69" s="3"/>
      <c r="G69" s="3"/>
    </row>
    <row r="70">
      <c r="B70" s="3"/>
      <c r="F70" s="3"/>
      <c r="G70" s="3"/>
    </row>
    <row r="71">
      <c r="B71" s="3"/>
      <c r="F71" s="3"/>
      <c r="G71" s="3"/>
    </row>
    <row r="72">
      <c r="B72" s="3"/>
      <c r="F72" s="3"/>
      <c r="G72" s="3"/>
    </row>
    <row r="73">
      <c r="B73" s="3"/>
      <c r="F73" s="3"/>
      <c r="G73" s="3"/>
    </row>
    <row r="74">
      <c r="B74" s="3"/>
      <c r="F74" s="3"/>
      <c r="G74" s="3"/>
    </row>
    <row r="75">
      <c r="B75" s="3"/>
      <c r="F75" s="3"/>
      <c r="G75" s="3"/>
    </row>
    <row r="76">
      <c r="B76" s="3"/>
      <c r="F76" s="3"/>
      <c r="G76" s="3"/>
    </row>
    <row r="77">
      <c r="B77" s="3"/>
      <c r="F77" s="3"/>
      <c r="G77" s="3"/>
    </row>
    <row r="78">
      <c r="B78" s="3"/>
      <c r="F78" s="3"/>
      <c r="G78" s="3"/>
    </row>
    <row r="79">
      <c r="B79" s="3"/>
      <c r="F79" s="3"/>
      <c r="G79" s="3"/>
    </row>
    <row r="80">
      <c r="B80" s="3"/>
      <c r="F80" s="3"/>
      <c r="G80" s="3"/>
    </row>
    <row r="81">
      <c r="B81" s="3"/>
      <c r="F81" s="3"/>
      <c r="G81" s="3"/>
    </row>
    <row r="82">
      <c r="B82" s="3"/>
      <c r="F82" s="3"/>
      <c r="G82" s="3"/>
    </row>
    <row r="83">
      <c r="B83" s="3"/>
      <c r="F83" s="3"/>
      <c r="G83" s="3"/>
    </row>
    <row r="84">
      <c r="B84" s="3"/>
      <c r="F84" s="3"/>
      <c r="G84" s="3"/>
    </row>
    <row r="85">
      <c r="B85" s="3"/>
      <c r="F85" s="3"/>
      <c r="G85" s="3"/>
    </row>
    <row r="86">
      <c r="B86" s="3"/>
      <c r="F86" s="3"/>
      <c r="G86" s="3"/>
    </row>
    <row r="87">
      <c r="B87" s="3"/>
      <c r="F87" s="3"/>
      <c r="G87" s="3"/>
    </row>
    <row r="88">
      <c r="B88" s="3"/>
      <c r="F88" s="3"/>
      <c r="G88" s="3"/>
    </row>
    <row r="89">
      <c r="B89" s="3"/>
      <c r="F89" s="3"/>
      <c r="G89" s="3"/>
    </row>
    <row r="90">
      <c r="B90" s="3"/>
      <c r="F90" s="3"/>
      <c r="G90" s="3"/>
    </row>
    <row r="91">
      <c r="B91" s="3"/>
      <c r="F91" s="3"/>
      <c r="G91" s="3"/>
    </row>
    <row r="92">
      <c r="B92" s="3"/>
      <c r="F92" s="3"/>
      <c r="G92" s="3"/>
    </row>
    <row r="93">
      <c r="B93" s="3"/>
      <c r="F93" s="3"/>
      <c r="G93" s="3"/>
    </row>
    <row r="94">
      <c r="B94" s="3"/>
      <c r="F94" s="3"/>
      <c r="G94" s="3"/>
    </row>
    <row r="95">
      <c r="B95" s="3"/>
      <c r="F95" s="3"/>
      <c r="G95" s="3"/>
    </row>
    <row r="96">
      <c r="B96" s="3"/>
      <c r="F96" s="3"/>
      <c r="G96" s="3"/>
    </row>
    <row r="97">
      <c r="B97" s="3"/>
      <c r="F97" s="3"/>
      <c r="G97" s="3"/>
    </row>
    <row r="98">
      <c r="B98" s="3"/>
      <c r="F98" s="3"/>
      <c r="G98" s="3"/>
    </row>
    <row r="99">
      <c r="B99" s="3"/>
      <c r="F99" s="3"/>
      <c r="G99" s="3"/>
    </row>
    <row r="100">
      <c r="B100" s="3"/>
      <c r="F100" s="3"/>
      <c r="G100" s="3"/>
    </row>
    <row r="101">
      <c r="B101" s="3"/>
      <c r="F101" s="3"/>
      <c r="G101" s="3"/>
    </row>
    <row r="102">
      <c r="B102" s="3"/>
      <c r="F102" s="3"/>
      <c r="G102" s="3"/>
    </row>
    <row r="103">
      <c r="B103" s="3"/>
      <c r="F103" s="3"/>
      <c r="G103" s="3"/>
    </row>
    <row r="104">
      <c r="B104" s="3"/>
      <c r="F104" s="3"/>
      <c r="G104" s="3"/>
    </row>
    <row r="105">
      <c r="B105" s="3"/>
      <c r="F105" s="3"/>
      <c r="G105" s="3"/>
    </row>
    <row r="106">
      <c r="B106" s="3"/>
      <c r="F106" s="3"/>
      <c r="G106" s="3"/>
    </row>
    <row r="107">
      <c r="B107" s="3"/>
      <c r="F107" s="3"/>
      <c r="G107" s="3"/>
    </row>
    <row r="108">
      <c r="B108" s="3"/>
      <c r="F108" s="3"/>
      <c r="G108" s="3"/>
    </row>
    <row r="109">
      <c r="B109" s="3"/>
      <c r="F109" s="3"/>
      <c r="G109" s="3"/>
    </row>
    <row r="110">
      <c r="B110" s="3"/>
      <c r="F110" s="3"/>
      <c r="G110" s="3"/>
    </row>
    <row r="111">
      <c r="B111" s="3"/>
      <c r="F111" s="3"/>
      <c r="G111" s="3"/>
    </row>
    <row r="112">
      <c r="B112" s="3"/>
      <c r="F112" s="3"/>
      <c r="G112" s="3"/>
    </row>
    <row r="113">
      <c r="B113" s="3"/>
      <c r="F113" s="3"/>
      <c r="G113" s="3"/>
    </row>
    <row r="114">
      <c r="B114" s="3"/>
      <c r="F114" s="3"/>
      <c r="G114" s="3"/>
    </row>
    <row r="115">
      <c r="B115" s="3"/>
      <c r="F115" s="3"/>
      <c r="G115" s="3"/>
    </row>
    <row r="116">
      <c r="B116" s="3"/>
      <c r="F116" s="3"/>
      <c r="G116" s="3"/>
    </row>
    <row r="117">
      <c r="B117" s="3"/>
      <c r="F117" s="3"/>
      <c r="G117" s="3"/>
    </row>
    <row r="118">
      <c r="B118" s="3"/>
      <c r="F118" s="3"/>
      <c r="G118" s="3"/>
    </row>
    <row r="119">
      <c r="B119" s="3"/>
      <c r="F119" s="3"/>
      <c r="G119" s="3"/>
    </row>
    <row r="120">
      <c r="B120" s="3"/>
      <c r="F120" s="3"/>
      <c r="G120" s="3"/>
    </row>
    <row r="121">
      <c r="B121" s="3"/>
      <c r="F121" s="3"/>
      <c r="G121" s="3"/>
    </row>
    <row r="122">
      <c r="B122" s="3"/>
      <c r="F122" s="3"/>
      <c r="G122" s="3"/>
    </row>
    <row r="123">
      <c r="B123" s="3"/>
      <c r="F123" s="3"/>
      <c r="G123" s="3"/>
    </row>
    <row r="124">
      <c r="B124" s="3"/>
      <c r="F124" s="3"/>
      <c r="G124" s="3"/>
    </row>
    <row r="125">
      <c r="B125" s="3"/>
      <c r="F125" s="3"/>
      <c r="G125" s="3"/>
    </row>
    <row r="126">
      <c r="B126" s="3"/>
      <c r="F126" s="3"/>
      <c r="G126" s="3"/>
    </row>
    <row r="127">
      <c r="B127" s="3"/>
      <c r="F127" s="3"/>
      <c r="G127" s="3"/>
    </row>
    <row r="128">
      <c r="B128" s="3"/>
      <c r="F128" s="3"/>
      <c r="G128" s="3"/>
    </row>
    <row r="129">
      <c r="B129" s="3"/>
      <c r="F129" s="3"/>
      <c r="G129" s="3"/>
    </row>
    <row r="130">
      <c r="B130" s="3"/>
      <c r="F130" s="3"/>
      <c r="G130" s="3"/>
    </row>
    <row r="131">
      <c r="B131" s="3"/>
      <c r="F131" s="3"/>
      <c r="G131" s="3"/>
    </row>
    <row r="132">
      <c r="B132" s="3"/>
      <c r="F132" s="3"/>
      <c r="G132" s="3"/>
    </row>
    <row r="133">
      <c r="B133" s="3"/>
      <c r="F133" s="3"/>
      <c r="G133" s="3"/>
    </row>
    <row r="134">
      <c r="B134" s="3"/>
      <c r="F134" s="3"/>
      <c r="G134" s="3"/>
    </row>
    <row r="135">
      <c r="B135" s="3"/>
      <c r="F135" s="3"/>
      <c r="G135" s="3"/>
    </row>
    <row r="136">
      <c r="B136" s="3"/>
      <c r="F136" s="3"/>
      <c r="G136" s="3"/>
    </row>
    <row r="137">
      <c r="B137" s="3"/>
      <c r="F137" s="3"/>
      <c r="G137" s="3"/>
    </row>
    <row r="138">
      <c r="B138" s="3"/>
      <c r="F138" s="3"/>
      <c r="G138" s="3"/>
    </row>
    <row r="139">
      <c r="B139" s="3"/>
      <c r="F139" s="3"/>
      <c r="G139" s="3"/>
    </row>
    <row r="140">
      <c r="B140" s="3"/>
      <c r="F140" s="3"/>
      <c r="G140" s="3"/>
    </row>
    <row r="141">
      <c r="B141" s="3"/>
      <c r="F141" s="3"/>
      <c r="G141" s="3"/>
    </row>
    <row r="142">
      <c r="B142" s="3"/>
      <c r="F142" s="3"/>
      <c r="G142" s="3"/>
    </row>
    <row r="143">
      <c r="B143" s="3"/>
      <c r="F143" s="3"/>
      <c r="G143" s="3"/>
    </row>
    <row r="144">
      <c r="B144" s="3"/>
      <c r="F144" s="3"/>
      <c r="G144" s="3"/>
    </row>
    <row r="145">
      <c r="B145" s="3"/>
      <c r="F145" s="3"/>
      <c r="G145" s="3"/>
    </row>
    <row r="146">
      <c r="B146" s="3"/>
      <c r="F146" s="3"/>
      <c r="G146" s="3"/>
    </row>
    <row r="147">
      <c r="B147" s="3"/>
      <c r="F147" s="3"/>
      <c r="G147" s="3"/>
    </row>
    <row r="148">
      <c r="B148" s="3"/>
      <c r="F148" s="3"/>
      <c r="G148" s="3"/>
    </row>
    <row r="149">
      <c r="B149" s="3"/>
      <c r="F149" s="3"/>
      <c r="G149" s="3"/>
    </row>
    <row r="150">
      <c r="B150" s="3"/>
      <c r="F150" s="3"/>
      <c r="G150" s="3"/>
    </row>
    <row r="151">
      <c r="B151" s="3"/>
      <c r="F151" s="3"/>
      <c r="G151" s="3"/>
    </row>
    <row r="152">
      <c r="B152" s="3"/>
      <c r="F152" s="3"/>
      <c r="G152" s="3"/>
    </row>
    <row r="153">
      <c r="B153" s="3"/>
      <c r="F153" s="3"/>
      <c r="G153" s="3"/>
    </row>
    <row r="154">
      <c r="B154" s="3"/>
      <c r="F154" s="3"/>
      <c r="G154" s="3"/>
    </row>
    <row r="155">
      <c r="B155" s="3"/>
      <c r="F155" s="3"/>
      <c r="G155" s="3"/>
    </row>
    <row r="156">
      <c r="B156" s="3"/>
      <c r="F156" s="3"/>
      <c r="G156" s="3"/>
    </row>
    <row r="157">
      <c r="B157" s="3"/>
      <c r="F157" s="3"/>
      <c r="G157" s="3"/>
    </row>
    <row r="158">
      <c r="B158" s="3"/>
      <c r="F158" s="3"/>
      <c r="G158" s="3"/>
    </row>
    <row r="159">
      <c r="B159" s="3"/>
      <c r="F159" s="3"/>
      <c r="G159" s="3"/>
    </row>
    <row r="160">
      <c r="B160" s="3"/>
      <c r="F160" s="3"/>
      <c r="G160" s="3"/>
    </row>
    <row r="161">
      <c r="B161" s="3"/>
      <c r="F161" s="3"/>
      <c r="G161" s="3"/>
    </row>
    <row r="162">
      <c r="B162" s="3"/>
      <c r="F162" s="3"/>
      <c r="G162" s="3"/>
    </row>
    <row r="163">
      <c r="B163" s="3"/>
      <c r="F163" s="3"/>
      <c r="G163" s="3"/>
    </row>
    <row r="164">
      <c r="B164" s="3"/>
      <c r="F164" s="3"/>
      <c r="G164" s="3"/>
    </row>
    <row r="165">
      <c r="B165" s="3"/>
      <c r="F165" s="3"/>
      <c r="G165" s="3"/>
    </row>
    <row r="166">
      <c r="B166" s="3"/>
      <c r="F166" s="3"/>
      <c r="G166" s="3"/>
    </row>
    <row r="167">
      <c r="B167" s="3"/>
      <c r="F167" s="3"/>
      <c r="G167" s="3"/>
    </row>
    <row r="168">
      <c r="B168" s="3"/>
      <c r="F168" s="3"/>
      <c r="G168" s="3"/>
    </row>
    <row r="169">
      <c r="B169" s="3"/>
      <c r="F169" s="3"/>
      <c r="G169" s="3"/>
    </row>
    <row r="170">
      <c r="B170" s="3"/>
      <c r="F170" s="3"/>
      <c r="G170" s="3"/>
    </row>
    <row r="171">
      <c r="B171" s="3"/>
      <c r="F171" s="3"/>
      <c r="G171" s="3"/>
    </row>
    <row r="172">
      <c r="B172" s="3"/>
      <c r="F172" s="3"/>
      <c r="G172" s="3"/>
    </row>
    <row r="173">
      <c r="B173" s="3"/>
      <c r="F173" s="3"/>
      <c r="G173" s="3"/>
    </row>
    <row r="174">
      <c r="B174" s="3"/>
      <c r="F174" s="3"/>
      <c r="G174" s="3"/>
    </row>
    <row r="175">
      <c r="B175" s="3"/>
      <c r="F175" s="3"/>
      <c r="G175" s="3"/>
    </row>
    <row r="176">
      <c r="B176" s="3"/>
      <c r="F176" s="3"/>
      <c r="G176" s="3"/>
    </row>
    <row r="177">
      <c r="B177" s="3"/>
      <c r="F177" s="3"/>
      <c r="G177" s="3"/>
    </row>
    <row r="178">
      <c r="B178" s="3"/>
      <c r="F178" s="3"/>
      <c r="G178" s="3"/>
    </row>
    <row r="179">
      <c r="B179" s="3"/>
      <c r="F179" s="3"/>
      <c r="G179" s="3"/>
    </row>
    <row r="180">
      <c r="B180" s="3"/>
      <c r="F180" s="3"/>
      <c r="G180" s="3"/>
    </row>
    <row r="181">
      <c r="B181" s="3"/>
      <c r="F181" s="3"/>
      <c r="G181" s="3"/>
    </row>
    <row r="182">
      <c r="B182" s="3"/>
      <c r="F182" s="3"/>
      <c r="G182" s="3"/>
    </row>
    <row r="183">
      <c r="B183" s="3"/>
      <c r="F183" s="3"/>
      <c r="G183" s="3"/>
    </row>
    <row r="184">
      <c r="B184" s="3"/>
      <c r="F184" s="3"/>
      <c r="G184" s="3"/>
    </row>
    <row r="185">
      <c r="B185" s="3"/>
      <c r="F185" s="3"/>
      <c r="G185" s="3"/>
    </row>
    <row r="186">
      <c r="B186" s="3"/>
      <c r="F186" s="3"/>
      <c r="G186" s="3"/>
    </row>
    <row r="187">
      <c r="B187" s="3"/>
      <c r="F187" s="3"/>
      <c r="G187" s="3"/>
    </row>
    <row r="188">
      <c r="B188" s="3"/>
      <c r="F188" s="3"/>
      <c r="G188" s="3"/>
    </row>
    <row r="189">
      <c r="B189" s="3"/>
      <c r="F189" s="3"/>
      <c r="G189" s="3"/>
    </row>
    <row r="190">
      <c r="B190" s="3"/>
      <c r="F190" s="3"/>
      <c r="G190" s="3"/>
    </row>
    <row r="191">
      <c r="B191" s="3"/>
      <c r="F191" s="3"/>
      <c r="G191" s="3"/>
    </row>
    <row r="192">
      <c r="B192" s="3"/>
      <c r="F192" s="3"/>
      <c r="G192" s="3"/>
    </row>
    <row r="193">
      <c r="B193" s="3"/>
      <c r="F193" s="3"/>
      <c r="G193" s="3"/>
    </row>
    <row r="194">
      <c r="B194" s="3"/>
      <c r="F194" s="3"/>
      <c r="G194" s="3"/>
    </row>
    <row r="195">
      <c r="B195" s="3"/>
      <c r="F195" s="3"/>
      <c r="G195" s="3"/>
    </row>
    <row r="196">
      <c r="B196" s="3"/>
      <c r="F196" s="3"/>
      <c r="G196" s="3"/>
    </row>
    <row r="197">
      <c r="B197" s="3"/>
      <c r="F197" s="3"/>
      <c r="G197" s="3"/>
    </row>
    <row r="198">
      <c r="B198" s="3"/>
      <c r="F198" s="3"/>
      <c r="G198" s="3"/>
    </row>
    <row r="199">
      <c r="B199" s="3"/>
      <c r="F199" s="3"/>
      <c r="G199" s="3"/>
    </row>
    <row r="200">
      <c r="B200" s="3"/>
      <c r="F200" s="3"/>
      <c r="G200" s="3"/>
    </row>
    <row r="201">
      <c r="B201" s="3"/>
      <c r="F201" s="3"/>
      <c r="G201" s="3"/>
    </row>
    <row r="202">
      <c r="B202" s="3"/>
      <c r="F202" s="3"/>
      <c r="G202" s="3"/>
    </row>
    <row r="203">
      <c r="B203" s="3"/>
      <c r="F203" s="3"/>
      <c r="G203" s="3"/>
    </row>
    <row r="204">
      <c r="B204" s="3"/>
      <c r="F204" s="3"/>
      <c r="G204" s="3"/>
    </row>
    <row r="205">
      <c r="B205" s="3"/>
      <c r="F205" s="3"/>
      <c r="G205" s="3"/>
    </row>
    <row r="206">
      <c r="B206" s="3"/>
      <c r="F206" s="3"/>
      <c r="G206" s="3"/>
    </row>
    <row r="207">
      <c r="B207" s="3"/>
      <c r="F207" s="3"/>
      <c r="G207" s="3"/>
    </row>
    <row r="208">
      <c r="B208" s="3"/>
      <c r="F208" s="3"/>
      <c r="G208" s="3"/>
    </row>
    <row r="209">
      <c r="B209" s="3"/>
      <c r="F209" s="3"/>
      <c r="G209" s="3"/>
    </row>
    <row r="210">
      <c r="B210" s="3"/>
      <c r="F210" s="3"/>
      <c r="G210" s="3"/>
    </row>
    <row r="211">
      <c r="B211" s="3"/>
      <c r="F211" s="3"/>
      <c r="G211" s="3"/>
    </row>
    <row r="212">
      <c r="B212" s="3"/>
      <c r="F212" s="3"/>
      <c r="G212" s="3"/>
    </row>
    <row r="213">
      <c r="B213" s="3"/>
      <c r="F213" s="3"/>
      <c r="G213" s="3"/>
    </row>
    <row r="214">
      <c r="B214" s="3"/>
      <c r="F214" s="3"/>
      <c r="G214" s="3"/>
    </row>
    <row r="215">
      <c r="B215" s="3"/>
      <c r="F215" s="3"/>
      <c r="G215" s="3"/>
    </row>
    <row r="216">
      <c r="B216" s="3"/>
      <c r="F216" s="3"/>
      <c r="G216" s="3"/>
    </row>
    <row r="217">
      <c r="B217" s="3"/>
      <c r="F217" s="3"/>
      <c r="G217" s="3"/>
    </row>
    <row r="218">
      <c r="B218" s="3"/>
      <c r="F218" s="3"/>
      <c r="G218" s="3"/>
    </row>
    <row r="219">
      <c r="B219" s="3"/>
      <c r="F219" s="3"/>
      <c r="G219" s="3"/>
    </row>
    <row r="220">
      <c r="B220" s="3"/>
      <c r="F220" s="3"/>
      <c r="G220" s="3"/>
    </row>
    <row r="221">
      <c r="B221" s="3"/>
      <c r="F221" s="3"/>
      <c r="G221" s="3"/>
    </row>
    <row r="222">
      <c r="B222" s="3"/>
      <c r="F222" s="3"/>
      <c r="G222" s="3"/>
    </row>
    <row r="223">
      <c r="B223" s="3"/>
      <c r="F223" s="3"/>
      <c r="G223" s="3"/>
    </row>
    <row r="224">
      <c r="B224" s="3"/>
      <c r="F224" s="3"/>
      <c r="G224" s="3"/>
    </row>
    <row r="225">
      <c r="B225" s="3"/>
      <c r="F225" s="3"/>
      <c r="G225" s="3"/>
    </row>
    <row r="226">
      <c r="B226" s="3"/>
      <c r="F226" s="3"/>
      <c r="G226" s="3"/>
    </row>
    <row r="227">
      <c r="B227" s="3"/>
      <c r="F227" s="3"/>
      <c r="G227" s="3"/>
    </row>
    <row r="228">
      <c r="B228" s="3"/>
      <c r="F228" s="3"/>
      <c r="G228" s="3"/>
    </row>
    <row r="229">
      <c r="B229" s="3"/>
      <c r="F229" s="3"/>
      <c r="G229" s="3"/>
    </row>
    <row r="230">
      <c r="B230" s="3"/>
      <c r="F230" s="3"/>
      <c r="G230" s="3"/>
    </row>
    <row r="231">
      <c r="B231" s="3"/>
      <c r="F231" s="3"/>
      <c r="G231" s="3"/>
    </row>
    <row r="232">
      <c r="B232" s="3"/>
      <c r="F232" s="3"/>
      <c r="G232" s="3"/>
    </row>
    <row r="233">
      <c r="B233" s="3"/>
      <c r="F233" s="3"/>
      <c r="G233" s="3"/>
    </row>
    <row r="234">
      <c r="B234" s="3"/>
      <c r="F234" s="3"/>
      <c r="G234" s="3"/>
    </row>
    <row r="235">
      <c r="B235" s="3"/>
      <c r="F235" s="3"/>
      <c r="G235" s="3"/>
    </row>
    <row r="236">
      <c r="B236" s="3"/>
      <c r="F236" s="3"/>
      <c r="G236" s="3"/>
    </row>
    <row r="237">
      <c r="B237" s="3"/>
      <c r="F237" s="3"/>
      <c r="G237" s="3"/>
    </row>
    <row r="238">
      <c r="B238" s="3"/>
      <c r="F238" s="3"/>
      <c r="G238" s="3"/>
    </row>
    <row r="239">
      <c r="B239" s="3"/>
      <c r="F239" s="3"/>
      <c r="G239" s="3"/>
    </row>
    <row r="240">
      <c r="B240" s="3"/>
      <c r="F240" s="3"/>
      <c r="G240" s="3"/>
    </row>
    <row r="241">
      <c r="B241" s="3"/>
      <c r="F241" s="3"/>
      <c r="G241" s="3"/>
    </row>
    <row r="242">
      <c r="B242" s="3"/>
      <c r="F242" s="3"/>
      <c r="G242" s="3"/>
    </row>
    <row r="243">
      <c r="B243" s="3"/>
      <c r="F243" s="3"/>
      <c r="G243" s="3"/>
    </row>
    <row r="244">
      <c r="B244" s="3"/>
      <c r="F244" s="3"/>
      <c r="G244" s="3"/>
    </row>
    <row r="245">
      <c r="B245" s="3"/>
      <c r="F245" s="3"/>
      <c r="G245" s="3"/>
    </row>
    <row r="246">
      <c r="B246" s="3"/>
      <c r="F246" s="3"/>
      <c r="G246" s="3"/>
    </row>
    <row r="247">
      <c r="B247" s="3"/>
      <c r="F247" s="3"/>
      <c r="G247" s="3"/>
    </row>
    <row r="248">
      <c r="B248" s="3"/>
      <c r="F248" s="3"/>
      <c r="G248" s="3"/>
    </row>
    <row r="249">
      <c r="B249" s="3"/>
      <c r="F249" s="3"/>
      <c r="G249" s="3"/>
    </row>
    <row r="250">
      <c r="B250" s="3"/>
      <c r="F250" s="3"/>
      <c r="G250" s="3"/>
    </row>
    <row r="251">
      <c r="B251" s="3"/>
      <c r="F251" s="3"/>
      <c r="G251" s="3"/>
    </row>
    <row r="252">
      <c r="B252" s="3"/>
      <c r="F252" s="3"/>
      <c r="G252" s="3"/>
    </row>
    <row r="253">
      <c r="B253" s="3"/>
      <c r="F253" s="3"/>
      <c r="G253" s="3"/>
    </row>
    <row r="254">
      <c r="B254" s="3"/>
      <c r="F254" s="3"/>
      <c r="G254" s="3"/>
    </row>
    <row r="255">
      <c r="B255" s="3"/>
      <c r="F255" s="3"/>
      <c r="G255" s="3"/>
    </row>
    <row r="256">
      <c r="B256" s="3"/>
      <c r="F256" s="3"/>
      <c r="G256" s="3"/>
    </row>
    <row r="257">
      <c r="B257" s="3"/>
      <c r="F257" s="3"/>
      <c r="G257" s="3"/>
    </row>
    <row r="258">
      <c r="B258" s="3"/>
      <c r="F258" s="3"/>
      <c r="G258" s="3"/>
    </row>
    <row r="259">
      <c r="B259" s="3"/>
      <c r="F259" s="3"/>
      <c r="G259" s="3"/>
    </row>
    <row r="260">
      <c r="B260" s="3"/>
      <c r="F260" s="3"/>
      <c r="G260" s="3"/>
    </row>
    <row r="261">
      <c r="B261" s="3"/>
      <c r="F261" s="3"/>
      <c r="G261" s="3"/>
    </row>
    <row r="262">
      <c r="B262" s="3"/>
      <c r="F262" s="3"/>
      <c r="G262" s="3"/>
    </row>
    <row r="263">
      <c r="B263" s="3"/>
      <c r="F263" s="3"/>
      <c r="G263" s="3"/>
    </row>
    <row r="264">
      <c r="B264" s="3"/>
      <c r="F264" s="3"/>
      <c r="G264" s="3"/>
    </row>
    <row r="265">
      <c r="B265" s="3"/>
      <c r="F265" s="3"/>
      <c r="G265" s="3"/>
    </row>
    <row r="266">
      <c r="B266" s="3"/>
      <c r="F266" s="3"/>
      <c r="G266" s="3"/>
    </row>
    <row r="267">
      <c r="B267" s="3"/>
      <c r="F267" s="3"/>
      <c r="G267" s="3"/>
    </row>
    <row r="268">
      <c r="B268" s="3"/>
      <c r="F268" s="3"/>
      <c r="G268" s="3"/>
    </row>
    <row r="269">
      <c r="B269" s="3"/>
      <c r="F269" s="3"/>
      <c r="G269" s="3"/>
    </row>
    <row r="270">
      <c r="B270" s="3"/>
      <c r="F270" s="3"/>
      <c r="G270" s="3"/>
    </row>
    <row r="271">
      <c r="B271" s="3"/>
      <c r="F271" s="3"/>
      <c r="G271" s="3"/>
    </row>
    <row r="272">
      <c r="B272" s="3"/>
      <c r="F272" s="3"/>
      <c r="G272" s="3"/>
    </row>
    <row r="273">
      <c r="B273" s="3"/>
      <c r="F273" s="3"/>
      <c r="G273" s="3"/>
    </row>
    <row r="274">
      <c r="B274" s="3"/>
      <c r="F274" s="3"/>
      <c r="G274" s="3"/>
    </row>
    <row r="275">
      <c r="B275" s="3"/>
      <c r="F275" s="3"/>
      <c r="G275" s="3"/>
    </row>
    <row r="276">
      <c r="B276" s="3"/>
      <c r="F276" s="3"/>
      <c r="G276" s="3"/>
    </row>
    <row r="277">
      <c r="B277" s="3"/>
      <c r="F277" s="3"/>
      <c r="G277" s="3"/>
    </row>
    <row r="278">
      <c r="B278" s="3"/>
      <c r="F278" s="3"/>
      <c r="G278" s="3"/>
    </row>
    <row r="279">
      <c r="B279" s="3"/>
      <c r="F279" s="3"/>
      <c r="G279" s="3"/>
    </row>
    <row r="280">
      <c r="B280" s="3"/>
      <c r="F280" s="3"/>
      <c r="G280" s="3"/>
    </row>
    <row r="281">
      <c r="B281" s="3"/>
      <c r="F281" s="3"/>
      <c r="G281" s="3"/>
    </row>
    <row r="282">
      <c r="B282" s="3"/>
      <c r="F282" s="3"/>
      <c r="G282" s="3"/>
    </row>
    <row r="283">
      <c r="B283" s="3"/>
      <c r="F283" s="3"/>
      <c r="G283" s="3"/>
    </row>
    <row r="284">
      <c r="B284" s="3"/>
      <c r="F284" s="3"/>
      <c r="G284" s="3"/>
    </row>
    <row r="285">
      <c r="B285" s="3"/>
      <c r="F285" s="3"/>
      <c r="G285" s="3"/>
    </row>
    <row r="286">
      <c r="B286" s="3"/>
      <c r="F286" s="3"/>
      <c r="G286" s="3"/>
    </row>
    <row r="287">
      <c r="B287" s="3"/>
      <c r="F287" s="3"/>
      <c r="G287" s="3"/>
    </row>
    <row r="288">
      <c r="B288" s="3"/>
      <c r="F288" s="3"/>
      <c r="G288" s="3"/>
    </row>
    <row r="289">
      <c r="B289" s="3"/>
      <c r="F289" s="3"/>
      <c r="G289" s="3"/>
    </row>
    <row r="290">
      <c r="B290" s="3"/>
      <c r="F290" s="3"/>
      <c r="G290" s="3"/>
    </row>
    <row r="291">
      <c r="B291" s="3"/>
      <c r="F291" s="3"/>
      <c r="G291" s="3"/>
    </row>
    <row r="292">
      <c r="B292" s="3"/>
      <c r="F292" s="3"/>
      <c r="G292" s="3"/>
    </row>
    <row r="293">
      <c r="B293" s="3"/>
      <c r="F293" s="3"/>
      <c r="G293" s="3"/>
    </row>
    <row r="294">
      <c r="B294" s="3"/>
      <c r="F294" s="3"/>
      <c r="G294" s="3"/>
    </row>
    <row r="295">
      <c r="B295" s="3"/>
      <c r="F295" s="3"/>
      <c r="G295" s="3"/>
    </row>
    <row r="296">
      <c r="B296" s="3"/>
      <c r="F296" s="3"/>
      <c r="G296" s="3"/>
    </row>
    <row r="297">
      <c r="B297" s="3"/>
      <c r="F297" s="3"/>
      <c r="G297" s="3"/>
    </row>
    <row r="298">
      <c r="B298" s="3"/>
      <c r="F298" s="3"/>
      <c r="G298" s="3"/>
    </row>
    <row r="299">
      <c r="B299" s="3"/>
      <c r="F299" s="3"/>
      <c r="G299" s="3"/>
    </row>
    <row r="300">
      <c r="B300" s="3"/>
      <c r="F300" s="3"/>
      <c r="G300" s="3"/>
    </row>
    <row r="301">
      <c r="B301" s="3"/>
      <c r="F301" s="3"/>
      <c r="G301" s="3"/>
    </row>
    <row r="302">
      <c r="B302" s="3"/>
      <c r="F302" s="3"/>
      <c r="G302" s="3"/>
    </row>
    <row r="303">
      <c r="B303" s="3"/>
      <c r="F303" s="3"/>
      <c r="G303" s="3"/>
    </row>
    <row r="304">
      <c r="B304" s="3"/>
      <c r="F304" s="3"/>
      <c r="G304" s="3"/>
    </row>
    <row r="305">
      <c r="B305" s="3"/>
      <c r="F305" s="3"/>
      <c r="G305" s="3"/>
    </row>
    <row r="306">
      <c r="B306" s="3"/>
      <c r="F306" s="3"/>
      <c r="G306" s="3"/>
    </row>
    <row r="307">
      <c r="B307" s="3"/>
      <c r="F307" s="3"/>
      <c r="G307" s="3"/>
    </row>
    <row r="308">
      <c r="B308" s="3"/>
      <c r="F308" s="3"/>
      <c r="G308" s="3"/>
    </row>
    <row r="309">
      <c r="B309" s="3"/>
      <c r="F309" s="3"/>
      <c r="G309" s="3"/>
    </row>
    <row r="310">
      <c r="B310" s="3"/>
      <c r="F310" s="3"/>
      <c r="G310" s="3"/>
    </row>
    <row r="311">
      <c r="B311" s="3"/>
      <c r="F311" s="3"/>
      <c r="G311" s="3"/>
    </row>
    <row r="312">
      <c r="B312" s="3"/>
      <c r="F312" s="3"/>
      <c r="G312" s="3"/>
    </row>
    <row r="313">
      <c r="B313" s="3"/>
      <c r="F313" s="3"/>
      <c r="G313" s="3"/>
    </row>
    <row r="314">
      <c r="B314" s="3"/>
      <c r="F314" s="3"/>
      <c r="G314" s="3"/>
    </row>
    <row r="315">
      <c r="B315" s="3"/>
      <c r="F315" s="3"/>
      <c r="G315" s="3"/>
    </row>
    <row r="316">
      <c r="B316" s="3"/>
      <c r="F316" s="3"/>
      <c r="G316" s="3"/>
    </row>
    <row r="317">
      <c r="B317" s="3"/>
      <c r="F317" s="3"/>
      <c r="G317" s="3"/>
    </row>
    <row r="318">
      <c r="B318" s="3"/>
      <c r="F318" s="3"/>
      <c r="G318" s="3"/>
    </row>
    <row r="319">
      <c r="B319" s="3"/>
      <c r="F319" s="3"/>
      <c r="G319" s="3"/>
    </row>
    <row r="320">
      <c r="B320" s="3"/>
      <c r="F320" s="3"/>
      <c r="G320" s="3"/>
    </row>
    <row r="321">
      <c r="B321" s="3"/>
      <c r="F321" s="3"/>
      <c r="G321" s="3"/>
    </row>
    <row r="322">
      <c r="B322" s="3"/>
      <c r="F322" s="3"/>
      <c r="G322" s="3"/>
    </row>
    <row r="323">
      <c r="B323" s="3"/>
      <c r="F323" s="3"/>
      <c r="G323" s="3"/>
    </row>
    <row r="324">
      <c r="B324" s="3"/>
      <c r="F324" s="3"/>
      <c r="G324" s="3"/>
    </row>
    <row r="325">
      <c r="B325" s="3"/>
      <c r="F325" s="3"/>
      <c r="G325" s="3"/>
    </row>
    <row r="326">
      <c r="B326" s="3"/>
      <c r="F326" s="3"/>
      <c r="G326" s="3"/>
    </row>
    <row r="327">
      <c r="B327" s="3"/>
      <c r="F327" s="3"/>
      <c r="G327" s="3"/>
    </row>
    <row r="328">
      <c r="B328" s="3"/>
      <c r="F328" s="3"/>
      <c r="G328" s="3"/>
    </row>
    <row r="329">
      <c r="B329" s="3"/>
      <c r="F329" s="3"/>
      <c r="G329" s="3"/>
    </row>
    <row r="330">
      <c r="B330" s="3"/>
      <c r="F330" s="3"/>
      <c r="G330" s="3"/>
    </row>
    <row r="331">
      <c r="B331" s="3"/>
      <c r="F331" s="3"/>
      <c r="G331" s="3"/>
    </row>
    <row r="332">
      <c r="B332" s="3"/>
      <c r="F332" s="3"/>
      <c r="G332" s="3"/>
    </row>
    <row r="333">
      <c r="B333" s="3"/>
      <c r="F333" s="3"/>
      <c r="G333" s="3"/>
    </row>
    <row r="334">
      <c r="B334" s="3"/>
      <c r="F334" s="3"/>
      <c r="G334" s="3"/>
    </row>
    <row r="335">
      <c r="B335" s="3"/>
      <c r="F335" s="3"/>
      <c r="G335" s="3"/>
    </row>
    <row r="336">
      <c r="B336" s="3"/>
      <c r="F336" s="3"/>
      <c r="G336" s="3"/>
    </row>
    <row r="337">
      <c r="B337" s="3"/>
      <c r="F337" s="3"/>
      <c r="G337" s="3"/>
    </row>
    <row r="338">
      <c r="B338" s="3"/>
      <c r="F338" s="3"/>
      <c r="G338" s="3"/>
    </row>
    <row r="339">
      <c r="B339" s="3"/>
      <c r="F339" s="3"/>
      <c r="G339" s="3"/>
    </row>
    <row r="340">
      <c r="B340" s="3"/>
      <c r="F340" s="3"/>
      <c r="G340" s="3"/>
    </row>
    <row r="341">
      <c r="B341" s="3"/>
      <c r="F341" s="3"/>
      <c r="G341" s="3"/>
    </row>
    <row r="342">
      <c r="B342" s="3"/>
      <c r="F342" s="3"/>
      <c r="G342" s="3"/>
    </row>
    <row r="343">
      <c r="B343" s="3"/>
      <c r="F343" s="3"/>
      <c r="G343" s="3"/>
    </row>
    <row r="344">
      <c r="B344" s="3"/>
      <c r="F344" s="3"/>
      <c r="G344" s="3"/>
    </row>
    <row r="345">
      <c r="B345" s="3"/>
      <c r="F345" s="3"/>
      <c r="G345" s="3"/>
    </row>
    <row r="346">
      <c r="B346" s="3"/>
      <c r="F346" s="3"/>
      <c r="G346" s="3"/>
    </row>
    <row r="347">
      <c r="B347" s="3"/>
      <c r="F347" s="3"/>
      <c r="G347" s="3"/>
    </row>
    <row r="348">
      <c r="B348" s="3"/>
      <c r="F348" s="3"/>
      <c r="G348" s="3"/>
    </row>
    <row r="349">
      <c r="B349" s="3"/>
      <c r="F349" s="3"/>
      <c r="G349" s="3"/>
    </row>
    <row r="350">
      <c r="B350" s="3"/>
      <c r="F350" s="3"/>
      <c r="G350" s="3"/>
    </row>
    <row r="351">
      <c r="B351" s="3"/>
      <c r="F351" s="3"/>
      <c r="G351" s="3"/>
    </row>
    <row r="352">
      <c r="B352" s="3"/>
      <c r="F352" s="3"/>
      <c r="G352" s="3"/>
    </row>
    <row r="353">
      <c r="B353" s="3"/>
      <c r="F353" s="3"/>
      <c r="G353" s="3"/>
    </row>
    <row r="354">
      <c r="B354" s="3"/>
      <c r="F354" s="3"/>
      <c r="G354" s="3"/>
    </row>
    <row r="355">
      <c r="B355" s="3"/>
      <c r="F355" s="3"/>
      <c r="G355" s="3"/>
    </row>
    <row r="356">
      <c r="B356" s="3"/>
      <c r="F356" s="3"/>
      <c r="G356" s="3"/>
    </row>
    <row r="357">
      <c r="B357" s="3"/>
      <c r="F357" s="3"/>
      <c r="G357" s="3"/>
    </row>
    <row r="358">
      <c r="B358" s="3"/>
      <c r="F358" s="3"/>
      <c r="G358" s="3"/>
    </row>
    <row r="359">
      <c r="B359" s="3"/>
      <c r="F359" s="3"/>
      <c r="G359" s="3"/>
    </row>
    <row r="360">
      <c r="B360" s="3"/>
      <c r="F360" s="3"/>
      <c r="G360" s="3"/>
    </row>
    <row r="361">
      <c r="B361" s="3"/>
      <c r="F361" s="3"/>
      <c r="G361" s="3"/>
    </row>
    <row r="362">
      <c r="B362" s="3"/>
      <c r="F362" s="3"/>
      <c r="G362" s="3"/>
    </row>
    <row r="363">
      <c r="B363" s="3"/>
      <c r="F363" s="3"/>
      <c r="G363" s="3"/>
    </row>
    <row r="364">
      <c r="B364" s="3"/>
      <c r="F364" s="3"/>
      <c r="G364" s="3"/>
    </row>
    <row r="365">
      <c r="B365" s="3"/>
      <c r="F365" s="3"/>
      <c r="G365" s="3"/>
    </row>
    <row r="366">
      <c r="B366" s="3"/>
      <c r="F366" s="3"/>
      <c r="G366" s="3"/>
    </row>
    <row r="367">
      <c r="B367" s="3"/>
      <c r="F367" s="3"/>
      <c r="G367" s="3"/>
    </row>
    <row r="368">
      <c r="B368" s="3"/>
      <c r="F368" s="3"/>
      <c r="G368" s="3"/>
    </row>
    <row r="369">
      <c r="B369" s="3"/>
      <c r="F369" s="3"/>
      <c r="G369" s="3"/>
    </row>
    <row r="370">
      <c r="B370" s="3"/>
      <c r="F370" s="3"/>
      <c r="G370" s="3"/>
    </row>
    <row r="371">
      <c r="B371" s="3"/>
      <c r="F371" s="3"/>
      <c r="G371" s="3"/>
    </row>
    <row r="372">
      <c r="B372" s="3"/>
      <c r="F372" s="3"/>
      <c r="G372" s="3"/>
    </row>
    <row r="373">
      <c r="B373" s="3"/>
      <c r="F373" s="3"/>
      <c r="G373" s="3"/>
    </row>
    <row r="374">
      <c r="B374" s="3"/>
      <c r="F374" s="3"/>
      <c r="G374" s="3"/>
    </row>
    <row r="375">
      <c r="B375" s="3"/>
      <c r="F375" s="3"/>
      <c r="G375" s="3"/>
    </row>
    <row r="376">
      <c r="B376" s="3"/>
      <c r="F376" s="3"/>
      <c r="G376" s="3"/>
    </row>
    <row r="377">
      <c r="B377" s="3"/>
      <c r="F377" s="3"/>
      <c r="G377" s="3"/>
    </row>
    <row r="378">
      <c r="B378" s="3"/>
      <c r="F378" s="3"/>
      <c r="G378" s="3"/>
    </row>
    <row r="379">
      <c r="B379" s="3"/>
      <c r="F379" s="3"/>
      <c r="G379" s="3"/>
    </row>
    <row r="380">
      <c r="B380" s="3"/>
      <c r="F380" s="3"/>
      <c r="G380" s="3"/>
    </row>
    <row r="381">
      <c r="B381" s="3"/>
      <c r="F381" s="3"/>
      <c r="G381" s="3"/>
    </row>
    <row r="382">
      <c r="B382" s="3"/>
      <c r="F382" s="3"/>
      <c r="G382" s="3"/>
    </row>
    <row r="383">
      <c r="B383" s="3"/>
      <c r="F383" s="3"/>
      <c r="G383" s="3"/>
    </row>
    <row r="384">
      <c r="B384" s="3"/>
      <c r="F384" s="3"/>
      <c r="G384" s="3"/>
    </row>
    <row r="385">
      <c r="B385" s="3"/>
      <c r="F385" s="3"/>
      <c r="G385" s="3"/>
    </row>
    <row r="386">
      <c r="B386" s="3"/>
      <c r="F386" s="3"/>
      <c r="G386" s="3"/>
    </row>
    <row r="387">
      <c r="B387" s="3"/>
      <c r="F387" s="3"/>
      <c r="G387" s="3"/>
    </row>
    <row r="388">
      <c r="B388" s="3"/>
      <c r="F388" s="3"/>
      <c r="G388" s="3"/>
    </row>
    <row r="389">
      <c r="B389" s="3"/>
      <c r="F389" s="3"/>
      <c r="G389" s="3"/>
    </row>
    <row r="390">
      <c r="B390" s="3"/>
      <c r="F390" s="3"/>
      <c r="G390" s="3"/>
    </row>
    <row r="391">
      <c r="B391" s="3"/>
      <c r="F391" s="3"/>
      <c r="G391" s="3"/>
    </row>
    <row r="392">
      <c r="B392" s="3"/>
      <c r="F392" s="3"/>
      <c r="G392" s="3"/>
    </row>
    <row r="393">
      <c r="B393" s="3"/>
      <c r="F393" s="3"/>
      <c r="G393" s="3"/>
    </row>
    <row r="394">
      <c r="B394" s="3"/>
      <c r="F394" s="3"/>
      <c r="G394" s="3"/>
    </row>
    <row r="395">
      <c r="B395" s="3"/>
      <c r="F395" s="3"/>
      <c r="G395" s="3"/>
    </row>
    <row r="396">
      <c r="B396" s="3"/>
      <c r="F396" s="3"/>
      <c r="G396" s="3"/>
    </row>
    <row r="397">
      <c r="B397" s="3"/>
      <c r="F397" s="3"/>
      <c r="G397" s="3"/>
    </row>
    <row r="398">
      <c r="B398" s="3"/>
      <c r="F398" s="3"/>
      <c r="G398" s="3"/>
    </row>
    <row r="399">
      <c r="B399" s="3"/>
      <c r="F399" s="3"/>
      <c r="G399" s="3"/>
    </row>
    <row r="400">
      <c r="B400" s="3"/>
      <c r="F400" s="3"/>
      <c r="G400" s="3"/>
    </row>
    <row r="401">
      <c r="B401" s="3"/>
      <c r="F401" s="3"/>
      <c r="G401" s="3"/>
    </row>
    <row r="402">
      <c r="B402" s="3"/>
      <c r="F402" s="3"/>
      <c r="G402" s="3"/>
    </row>
    <row r="403">
      <c r="B403" s="3"/>
      <c r="F403" s="3"/>
      <c r="G403" s="3"/>
    </row>
    <row r="404">
      <c r="B404" s="3"/>
      <c r="F404" s="3"/>
      <c r="G404" s="3"/>
    </row>
    <row r="405">
      <c r="B405" s="3"/>
      <c r="F405" s="3"/>
      <c r="G405" s="3"/>
    </row>
    <row r="406">
      <c r="B406" s="3"/>
      <c r="F406" s="3"/>
      <c r="G406" s="3"/>
    </row>
    <row r="407">
      <c r="B407" s="3"/>
      <c r="F407" s="3"/>
      <c r="G407" s="3"/>
    </row>
    <row r="408">
      <c r="B408" s="3"/>
      <c r="F408" s="3"/>
      <c r="G408" s="3"/>
    </row>
    <row r="409">
      <c r="B409" s="3"/>
      <c r="F409" s="3"/>
      <c r="G409" s="3"/>
    </row>
    <row r="410">
      <c r="B410" s="3"/>
      <c r="F410" s="3"/>
      <c r="G410" s="3"/>
    </row>
    <row r="411">
      <c r="B411" s="3"/>
      <c r="F411" s="3"/>
      <c r="G411" s="3"/>
    </row>
    <row r="412">
      <c r="B412" s="3"/>
      <c r="F412" s="3"/>
      <c r="G412" s="3"/>
    </row>
    <row r="413">
      <c r="B413" s="3"/>
      <c r="F413" s="3"/>
      <c r="G413" s="3"/>
    </row>
    <row r="414">
      <c r="B414" s="3"/>
      <c r="F414" s="3"/>
      <c r="G414" s="3"/>
    </row>
    <row r="415">
      <c r="B415" s="3"/>
      <c r="F415" s="3"/>
      <c r="G415" s="3"/>
    </row>
    <row r="416">
      <c r="B416" s="3"/>
      <c r="F416" s="3"/>
      <c r="G416" s="3"/>
    </row>
    <row r="417">
      <c r="B417" s="3"/>
      <c r="F417" s="3"/>
      <c r="G417" s="3"/>
    </row>
    <row r="418">
      <c r="B418" s="3"/>
      <c r="F418" s="3"/>
      <c r="G418" s="3"/>
    </row>
    <row r="419">
      <c r="B419" s="3"/>
      <c r="F419" s="3"/>
      <c r="G419" s="3"/>
    </row>
    <row r="420">
      <c r="B420" s="3"/>
      <c r="F420" s="3"/>
      <c r="G420" s="3"/>
    </row>
    <row r="421">
      <c r="B421" s="3"/>
      <c r="F421" s="3"/>
      <c r="G421" s="3"/>
    </row>
    <row r="422">
      <c r="B422" s="3"/>
      <c r="F422" s="3"/>
      <c r="G422" s="3"/>
    </row>
    <row r="423">
      <c r="B423" s="3"/>
      <c r="F423" s="3"/>
      <c r="G423" s="3"/>
    </row>
    <row r="424">
      <c r="B424" s="3"/>
      <c r="F424" s="3"/>
      <c r="G424" s="3"/>
    </row>
    <row r="425">
      <c r="B425" s="3"/>
      <c r="F425" s="3"/>
      <c r="G425" s="3"/>
    </row>
    <row r="426">
      <c r="B426" s="3"/>
      <c r="F426" s="3"/>
      <c r="G426" s="3"/>
    </row>
    <row r="427">
      <c r="B427" s="3"/>
      <c r="F427" s="3"/>
      <c r="G427" s="3"/>
    </row>
    <row r="428">
      <c r="B428" s="3"/>
      <c r="F428" s="3"/>
      <c r="G428" s="3"/>
    </row>
    <row r="429">
      <c r="B429" s="3"/>
      <c r="F429" s="3"/>
      <c r="G429" s="3"/>
    </row>
    <row r="430">
      <c r="B430" s="3"/>
      <c r="F430" s="3"/>
      <c r="G430" s="3"/>
    </row>
    <row r="431">
      <c r="B431" s="3"/>
      <c r="F431" s="3"/>
      <c r="G431" s="3"/>
    </row>
    <row r="432">
      <c r="B432" s="3"/>
      <c r="F432" s="3"/>
      <c r="G432" s="3"/>
    </row>
    <row r="433">
      <c r="B433" s="3"/>
      <c r="F433" s="3"/>
      <c r="G433" s="3"/>
    </row>
    <row r="434">
      <c r="B434" s="3"/>
      <c r="F434" s="3"/>
      <c r="G434" s="3"/>
    </row>
    <row r="435">
      <c r="B435" s="3"/>
      <c r="F435" s="3"/>
      <c r="G435" s="3"/>
    </row>
    <row r="436">
      <c r="B436" s="3"/>
      <c r="F436" s="3"/>
      <c r="G436" s="3"/>
    </row>
    <row r="437">
      <c r="B437" s="3"/>
      <c r="F437" s="3"/>
      <c r="G437" s="3"/>
    </row>
    <row r="438">
      <c r="B438" s="3"/>
      <c r="F438" s="3"/>
      <c r="G438" s="3"/>
    </row>
    <row r="439">
      <c r="B439" s="3"/>
      <c r="F439" s="3"/>
      <c r="G439" s="3"/>
    </row>
    <row r="440">
      <c r="B440" s="3"/>
      <c r="F440" s="3"/>
      <c r="G440" s="3"/>
    </row>
    <row r="441">
      <c r="B441" s="3"/>
      <c r="F441" s="3"/>
      <c r="G441" s="3"/>
    </row>
    <row r="442">
      <c r="B442" s="3"/>
      <c r="F442" s="3"/>
      <c r="G442" s="3"/>
    </row>
    <row r="443">
      <c r="B443" s="3"/>
      <c r="F443" s="3"/>
      <c r="G443" s="3"/>
    </row>
    <row r="444">
      <c r="B444" s="3"/>
      <c r="F444" s="3"/>
      <c r="G444" s="3"/>
    </row>
    <row r="445">
      <c r="B445" s="3"/>
      <c r="F445" s="3"/>
      <c r="G445" s="3"/>
    </row>
    <row r="446">
      <c r="B446" s="3"/>
      <c r="F446" s="3"/>
      <c r="G446" s="3"/>
    </row>
    <row r="447">
      <c r="B447" s="3"/>
      <c r="F447" s="3"/>
      <c r="G447" s="3"/>
    </row>
    <row r="448">
      <c r="B448" s="3"/>
      <c r="F448" s="3"/>
      <c r="G448" s="3"/>
    </row>
    <row r="449">
      <c r="B449" s="3"/>
      <c r="F449" s="3"/>
      <c r="G449" s="3"/>
    </row>
    <row r="450">
      <c r="B450" s="3"/>
      <c r="F450" s="3"/>
      <c r="G450" s="3"/>
    </row>
    <row r="451">
      <c r="B451" s="3"/>
      <c r="F451" s="3"/>
      <c r="G451" s="3"/>
    </row>
    <row r="452">
      <c r="B452" s="3"/>
      <c r="F452" s="3"/>
      <c r="G452" s="3"/>
    </row>
    <row r="453">
      <c r="B453" s="3"/>
      <c r="F453" s="3"/>
      <c r="G453" s="3"/>
    </row>
    <row r="454">
      <c r="B454" s="3"/>
      <c r="F454" s="3"/>
      <c r="G454" s="3"/>
    </row>
    <row r="455">
      <c r="B455" s="3"/>
      <c r="F455" s="3"/>
      <c r="G455" s="3"/>
    </row>
    <row r="456">
      <c r="B456" s="3"/>
      <c r="F456" s="3"/>
      <c r="G456" s="3"/>
    </row>
    <row r="457">
      <c r="B457" s="3"/>
      <c r="F457" s="3"/>
      <c r="G457" s="3"/>
    </row>
    <row r="458">
      <c r="B458" s="3"/>
      <c r="F458" s="3"/>
      <c r="G458" s="3"/>
    </row>
    <row r="459">
      <c r="B459" s="3"/>
      <c r="F459" s="3"/>
      <c r="G459" s="3"/>
    </row>
    <row r="460">
      <c r="B460" s="3"/>
      <c r="F460" s="3"/>
      <c r="G460" s="3"/>
    </row>
    <row r="461">
      <c r="B461" s="3"/>
      <c r="F461" s="3"/>
      <c r="G461" s="3"/>
    </row>
    <row r="462">
      <c r="B462" s="3"/>
      <c r="F462" s="3"/>
      <c r="G462" s="3"/>
    </row>
    <row r="463">
      <c r="B463" s="3"/>
      <c r="F463" s="3"/>
      <c r="G463" s="3"/>
    </row>
    <row r="464">
      <c r="B464" s="3"/>
      <c r="F464" s="3"/>
      <c r="G464" s="3"/>
    </row>
    <row r="465">
      <c r="B465" s="3"/>
      <c r="F465" s="3"/>
      <c r="G465" s="3"/>
    </row>
    <row r="466">
      <c r="B466" s="3"/>
      <c r="F466" s="3"/>
      <c r="G466" s="3"/>
    </row>
    <row r="467">
      <c r="B467" s="3"/>
      <c r="F467" s="3"/>
      <c r="G467" s="3"/>
    </row>
    <row r="468">
      <c r="B468" s="3"/>
      <c r="F468" s="3"/>
      <c r="G468" s="3"/>
    </row>
    <row r="469">
      <c r="B469" s="3"/>
      <c r="F469" s="3"/>
      <c r="G469" s="3"/>
    </row>
    <row r="470">
      <c r="B470" s="3"/>
      <c r="F470" s="3"/>
      <c r="G470" s="3"/>
    </row>
    <row r="471">
      <c r="B471" s="3"/>
      <c r="F471" s="3"/>
      <c r="G471" s="3"/>
    </row>
    <row r="472">
      <c r="B472" s="3"/>
      <c r="F472" s="3"/>
      <c r="G472" s="3"/>
    </row>
    <row r="473">
      <c r="B473" s="3"/>
      <c r="F473" s="3"/>
      <c r="G473" s="3"/>
    </row>
    <row r="474">
      <c r="B474" s="3"/>
      <c r="F474" s="3"/>
      <c r="G474" s="3"/>
    </row>
    <row r="475">
      <c r="B475" s="3"/>
      <c r="F475" s="3"/>
      <c r="G475" s="3"/>
    </row>
    <row r="476">
      <c r="B476" s="3"/>
      <c r="F476" s="3"/>
      <c r="G476" s="3"/>
    </row>
    <row r="477">
      <c r="B477" s="3"/>
      <c r="F477" s="3"/>
      <c r="G477" s="3"/>
    </row>
    <row r="478">
      <c r="B478" s="3"/>
      <c r="F478" s="3"/>
      <c r="G478" s="3"/>
    </row>
    <row r="479">
      <c r="B479" s="3"/>
      <c r="F479" s="3"/>
      <c r="G479" s="3"/>
    </row>
    <row r="480">
      <c r="B480" s="3"/>
      <c r="F480" s="3"/>
      <c r="G480" s="3"/>
    </row>
    <row r="481">
      <c r="B481" s="3"/>
      <c r="F481" s="3"/>
      <c r="G481" s="3"/>
    </row>
    <row r="482">
      <c r="B482" s="3"/>
      <c r="F482" s="3"/>
      <c r="G482" s="3"/>
    </row>
    <row r="483">
      <c r="B483" s="3"/>
      <c r="F483" s="3"/>
      <c r="G483" s="3"/>
    </row>
    <row r="484">
      <c r="B484" s="3"/>
      <c r="F484" s="3"/>
      <c r="G484" s="3"/>
    </row>
    <row r="485">
      <c r="B485" s="3"/>
      <c r="F485" s="3"/>
      <c r="G485" s="3"/>
    </row>
    <row r="486">
      <c r="B486" s="3"/>
      <c r="F486" s="3"/>
      <c r="G486" s="3"/>
    </row>
    <row r="487">
      <c r="B487" s="3"/>
      <c r="F487" s="3"/>
      <c r="G487" s="3"/>
    </row>
    <row r="488">
      <c r="B488" s="3"/>
      <c r="F488" s="3"/>
      <c r="G488" s="3"/>
    </row>
    <row r="489">
      <c r="B489" s="3"/>
      <c r="F489" s="3"/>
      <c r="G489" s="3"/>
    </row>
    <row r="490">
      <c r="B490" s="3"/>
      <c r="F490" s="3"/>
      <c r="G490" s="3"/>
    </row>
    <row r="491">
      <c r="B491" s="3"/>
      <c r="F491" s="3"/>
      <c r="G491" s="3"/>
    </row>
    <row r="492">
      <c r="B492" s="3"/>
      <c r="F492" s="3"/>
      <c r="G492" s="3"/>
    </row>
    <row r="493">
      <c r="B493" s="3"/>
      <c r="F493" s="3"/>
      <c r="G493" s="3"/>
    </row>
    <row r="494">
      <c r="B494" s="3"/>
      <c r="F494" s="3"/>
      <c r="G494" s="3"/>
    </row>
    <row r="495">
      <c r="B495" s="3"/>
      <c r="F495" s="3"/>
      <c r="G495" s="3"/>
    </row>
    <row r="496">
      <c r="B496" s="3"/>
      <c r="F496" s="3"/>
      <c r="G496" s="3"/>
    </row>
    <row r="497">
      <c r="B497" s="3"/>
      <c r="F497" s="3"/>
      <c r="G497" s="3"/>
    </row>
    <row r="498">
      <c r="B498" s="3"/>
      <c r="F498" s="3"/>
      <c r="G498" s="3"/>
    </row>
    <row r="499">
      <c r="B499" s="3"/>
      <c r="F499" s="3"/>
      <c r="G499" s="3"/>
    </row>
    <row r="500">
      <c r="B500" s="3"/>
      <c r="F500" s="3"/>
      <c r="G500" s="3"/>
    </row>
    <row r="501">
      <c r="B501" s="3"/>
      <c r="F501" s="3"/>
      <c r="G501" s="3"/>
    </row>
    <row r="502">
      <c r="B502" s="3"/>
      <c r="F502" s="3"/>
      <c r="G502" s="3"/>
    </row>
    <row r="503">
      <c r="B503" s="3"/>
      <c r="F503" s="3"/>
      <c r="G503" s="3"/>
    </row>
    <row r="504">
      <c r="B504" s="3"/>
      <c r="F504" s="3"/>
      <c r="G504" s="3"/>
    </row>
    <row r="505">
      <c r="B505" s="3"/>
      <c r="F505" s="3"/>
      <c r="G505" s="3"/>
    </row>
    <row r="506">
      <c r="B506" s="3"/>
      <c r="F506" s="3"/>
      <c r="G506" s="3"/>
    </row>
    <row r="507">
      <c r="B507" s="3"/>
      <c r="F507" s="3"/>
      <c r="G507" s="3"/>
    </row>
    <row r="508">
      <c r="B508" s="3"/>
      <c r="F508" s="3"/>
      <c r="G508" s="3"/>
    </row>
    <row r="509">
      <c r="B509" s="3"/>
      <c r="F509" s="3"/>
      <c r="G509" s="3"/>
    </row>
    <row r="510">
      <c r="B510" s="3"/>
      <c r="F510" s="3"/>
      <c r="G510" s="3"/>
    </row>
    <row r="511">
      <c r="B511" s="3"/>
      <c r="F511" s="3"/>
      <c r="G511" s="3"/>
    </row>
    <row r="512">
      <c r="B512" s="3"/>
      <c r="F512" s="3"/>
      <c r="G512" s="3"/>
    </row>
    <row r="513">
      <c r="B513" s="3"/>
      <c r="F513" s="3"/>
      <c r="G513" s="3"/>
    </row>
    <row r="514">
      <c r="B514" s="3"/>
      <c r="F514" s="3"/>
      <c r="G514" s="3"/>
    </row>
    <row r="515">
      <c r="B515" s="3"/>
      <c r="F515" s="3"/>
      <c r="G515" s="3"/>
    </row>
    <row r="516">
      <c r="B516" s="3"/>
      <c r="F516" s="3"/>
      <c r="G516" s="3"/>
    </row>
    <row r="517">
      <c r="B517" s="3"/>
      <c r="F517" s="3"/>
      <c r="G517" s="3"/>
    </row>
    <row r="518">
      <c r="B518" s="3"/>
      <c r="F518" s="3"/>
      <c r="G518" s="3"/>
    </row>
    <row r="519">
      <c r="B519" s="3"/>
      <c r="F519" s="3"/>
      <c r="G519" s="3"/>
    </row>
    <row r="520">
      <c r="B520" s="3"/>
      <c r="F520" s="3"/>
      <c r="G520" s="3"/>
    </row>
    <row r="521">
      <c r="B521" s="3"/>
      <c r="F521" s="3"/>
      <c r="G521" s="3"/>
    </row>
    <row r="522">
      <c r="B522" s="3"/>
      <c r="F522" s="3"/>
      <c r="G522" s="3"/>
    </row>
    <row r="523">
      <c r="B523" s="3"/>
      <c r="F523" s="3"/>
      <c r="G523" s="3"/>
    </row>
    <row r="524">
      <c r="B524" s="3"/>
      <c r="F524" s="3"/>
      <c r="G524" s="3"/>
    </row>
    <row r="525">
      <c r="B525" s="3"/>
      <c r="F525" s="3"/>
      <c r="G525" s="3"/>
    </row>
    <row r="526">
      <c r="B526" s="3"/>
      <c r="F526" s="3"/>
      <c r="G526" s="3"/>
    </row>
    <row r="527">
      <c r="B527" s="3"/>
      <c r="F527" s="3"/>
      <c r="G527" s="3"/>
    </row>
    <row r="528">
      <c r="B528" s="3"/>
      <c r="F528" s="3"/>
      <c r="G528" s="3"/>
    </row>
    <row r="529">
      <c r="B529" s="3"/>
      <c r="F529" s="3"/>
      <c r="G529" s="3"/>
    </row>
    <row r="530">
      <c r="B530" s="3"/>
      <c r="F530" s="3"/>
      <c r="G530" s="3"/>
    </row>
    <row r="531">
      <c r="B531" s="3"/>
      <c r="F531" s="3"/>
      <c r="G531" s="3"/>
    </row>
    <row r="532">
      <c r="B532" s="3"/>
      <c r="F532" s="3"/>
      <c r="G532" s="3"/>
    </row>
    <row r="533">
      <c r="B533" s="3"/>
      <c r="F533" s="3"/>
      <c r="G533" s="3"/>
    </row>
    <row r="534">
      <c r="B534" s="3"/>
      <c r="F534" s="3"/>
      <c r="G534" s="3"/>
    </row>
    <row r="535">
      <c r="B535" s="3"/>
      <c r="F535" s="3"/>
      <c r="G535" s="3"/>
    </row>
    <row r="536">
      <c r="B536" s="3"/>
      <c r="F536" s="3"/>
      <c r="G536" s="3"/>
    </row>
    <row r="537">
      <c r="B537" s="3"/>
      <c r="F537" s="3"/>
      <c r="G537" s="3"/>
    </row>
    <row r="538">
      <c r="B538" s="3"/>
      <c r="F538" s="3"/>
      <c r="G538" s="3"/>
    </row>
    <row r="539">
      <c r="B539" s="3"/>
      <c r="F539" s="3"/>
      <c r="G539" s="3"/>
    </row>
    <row r="540">
      <c r="B540" s="3"/>
      <c r="F540" s="3"/>
      <c r="G540" s="3"/>
    </row>
    <row r="541">
      <c r="B541" s="3"/>
      <c r="F541" s="3"/>
      <c r="G541" s="3"/>
    </row>
    <row r="542">
      <c r="B542" s="3"/>
      <c r="F542" s="3"/>
      <c r="G542" s="3"/>
    </row>
    <row r="543">
      <c r="B543" s="3"/>
      <c r="F543" s="3"/>
      <c r="G543" s="3"/>
    </row>
    <row r="544">
      <c r="B544" s="3"/>
      <c r="F544" s="3"/>
      <c r="G544" s="3"/>
    </row>
    <row r="545">
      <c r="B545" s="3"/>
      <c r="F545" s="3"/>
      <c r="G545" s="3"/>
    </row>
    <row r="546">
      <c r="B546" s="3"/>
      <c r="F546" s="3"/>
      <c r="G546" s="3"/>
    </row>
    <row r="547">
      <c r="B547" s="3"/>
      <c r="F547" s="3"/>
      <c r="G547" s="3"/>
    </row>
    <row r="548">
      <c r="B548" s="3"/>
      <c r="F548" s="3"/>
      <c r="G548" s="3"/>
    </row>
    <row r="549">
      <c r="B549" s="3"/>
      <c r="F549" s="3"/>
      <c r="G549" s="3"/>
    </row>
    <row r="550">
      <c r="B550" s="3"/>
      <c r="F550" s="3"/>
      <c r="G550" s="3"/>
    </row>
    <row r="551">
      <c r="B551" s="3"/>
      <c r="F551" s="3"/>
      <c r="G551" s="3"/>
    </row>
    <row r="552">
      <c r="B552" s="3"/>
      <c r="F552" s="3"/>
      <c r="G552" s="3"/>
    </row>
    <row r="553">
      <c r="B553" s="3"/>
      <c r="F553" s="3"/>
      <c r="G553" s="3"/>
    </row>
    <row r="554">
      <c r="B554" s="3"/>
      <c r="F554" s="3"/>
      <c r="G554" s="3"/>
    </row>
    <row r="555">
      <c r="B555" s="3"/>
      <c r="F555" s="3"/>
      <c r="G555" s="3"/>
    </row>
    <row r="556">
      <c r="B556" s="3"/>
      <c r="F556" s="3"/>
      <c r="G556" s="3"/>
    </row>
    <row r="557">
      <c r="B557" s="3"/>
      <c r="F557" s="3"/>
      <c r="G557" s="3"/>
    </row>
    <row r="558">
      <c r="B558" s="3"/>
      <c r="F558" s="3"/>
      <c r="G558" s="3"/>
    </row>
    <row r="559">
      <c r="B559" s="3"/>
      <c r="F559" s="3"/>
      <c r="G559" s="3"/>
    </row>
    <row r="560">
      <c r="B560" s="3"/>
      <c r="F560" s="3"/>
      <c r="G560" s="3"/>
    </row>
    <row r="561">
      <c r="B561" s="3"/>
      <c r="F561" s="3"/>
      <c r="G561" s="3"/>
    </row>
    <row r="562">
      <c r="B562" s="3"/>
      <c r="F562" s="3"/>
      <c r="G562" s="3"/>
    </row>
    <row r="563">
      <c r="B563" s="3"/>
      <c r="F563" s="3"/>
      <c r="G563" s="3"/>
    </row>
    <row r="564">
      <c r="B564" s="3"/>
      <c r="F564" s="3"/>
      <c r="G564" s="3"/>
    </row>
    <row r="565">
      <c r="B565" s="3"/>
      <c r="F565" s="3"/>
      <c r="G565" s="3"/>
    </row>
    <row r="566">
      <c r="B566" s="3"/>
      <c r="F566" s="3"/>
      <c r="G566" s="3"/>
    </row>
    <row r="567">
      <c r="B567" s="3"/>
      <c r="F567" s="3"/>
      <c r="G567" s="3"/>
    </row>
    <row r="568">
      <c r="B568" s="3"/>
      <c r="F568" s="3"/>
      <c r="G568" s="3"/>
    </row>
    <row r="569">
      <c r="B569" s="3"/>
      <c r="F569" s="3"/>
      <c r="G569" s="3"/>
    </row>
    <row r="570">
      <c r="B570" s="3"/>
      <c r="F570" s="3"/>
      <c r="G570" s="3"/>
    </row>
    <row r="571">
      <c r="B571" s="3"/>
      <c r="F571" s="3"/>
      <c r="G571" s="3"/>
    </row>
    <row r="572">
      <c r="B572" s="3"/>
      <c r="F572" s="3"/>
      <c r="G572" s="3"/>
    </row>
    <row r="573">
      <c r="B573" s="3"/>
      <c r="F573" s="3"/>
      <c r="G573" s="3"/>
    </row>
    <row r="574">
      <c r="B574" s="3"/>
      <c r="F574" s="3"/>
      <c r="G574" s="3"/>
    </row>
    <row r="575">
      <c r="B575" s="3"/>
      <c r="F575" s="3"/>
      <c r="G575" s="3"/>
    </row>
    <row r="576">
      <c r="B576" s="3"/>
      <c r="F576" s="3"/>
      <c r="G576" s="3"/>
    </row>
    <row r="577">
      <c r="B577" s="3"/>
      <c r="F577" s="3"/>
      <c r="G577" s="3"/>
    </row>
    <row r="578">
      <c r="B578" s="3"/>
      <c r="F578" s="3"/>
      <c r="G578" s="3"/>
    </row>
    <row r="579">
      <c r="B579" s="3"/>
      <c r="F579" s="3"/>
      <c r="G579" s="3"/>
    </row>
    <row r="580">
      <c r="B580" s="3"/>
      <c r="F580" s="3"/>
      <c r="G580" s="3"/>
    </row>
    <row r="581">
      <c r="B581" s="3"/>
      <c r="F581" s="3"/>
      <c r="G581" s="3"/>
    </row>
    <row r="582">
      <c r="B582" s="3"/>
      <c r="F582" s="3"/>
      <c r="G582" s="3"/>
    </row>
    <row r="583">
      <c r="B583" s="3"/>
      <c r="F583" s="3"/>
      <c r="G583" s="3"/>
    </row>
    <row r="584">
      <c r="B584" s="3"/>
      <c r="F584" s="3"/>
      <c r="G584" s="3"/>
    </row>
    <row r="585">
      <c r="B585" s="3"/>
      <c r="F585" s="3"/>
      <c r="G585" s="3"/>
    </row>
    <row r="586">
      <c r="B586" s="3"/>
      <c r="F586" s="3"/>
      <c r="G586" s="3"/>
    </row>
    <row r="587">
      <c r="B587" s="3"/>
      <c r="F587" s="3"/>
      <c r="G587" s="3"/>
    </row>
    <row r="588">
      <c r="B588" s="3"/>
      <c r="F588" s="3"/>
      <c r="G588" s="3"/>
    </row>
    <row r="589">
      <c r="B589" s="3"/>
      <c r="F589" s="3"/>
      <c r="G589" s="3"/>
    </row>
    <row r="590">
      <c r="B590" s="3"/>
      <c r="F590" s="3"/>
      <c r="G590" s="3"/>
    </row>
    <row r="591">
      <c r="B591" s="3"/>
      <c r="F591" s="3"/>
      <c r="G591" s="3"/>
    </row>
    <row r="592">
      <c r="B592" s="3"/>
      <c r="F592" s="3"/>
      <c r="G592" s="3"/>
    </row>
    <row r="593">
      <c r="B593" s="3"/>
      <c r="F593" s="3"/>
      <c r="G593" s="3"/>
    </row>
    <row r="594">
      <c r="B594" s="3"/>
      <c r="F594" s="3"/>
      <c r="G594" s="3"/>
    </row>
    <row r="595">
      <c r="B595" s="3"/>
      <c r="F595" s="3"/>
      <c r="G595" s="3"/>
    </row>
    <row r="596">
      <c r="B596" s="3"/>
      <c r="F596" s="3"/>
      <c r="G596" s="3"/>
    </row>
    <row r="597">
      <c r="B597" s="3"/>
      <c r="F597" s="3"/>
      <c r="G597" s="3"/>
    </row>
    <row r="598">
      <c r="B598" s="3"/>
      <c r="F598" s="3"/>
      <c r="G598" s="3"/>
    </row>
    <row r="599">
      <c r="B599" s="3"/>
      <c r="F599" s="3"/>
      <c r="G599" s="3"/>
    </row>
    <row r="600">
      <c r="B600" s="3"/>
      <c r="F600" s="3"/>
      <c r="G600" s="3"/>
    </row>
    <row r="601">
      <c r="B601" s="3"/>
      <c r="F601" s="3"/>
      <c r="G601" s="3"/>
    </row>
    <row r="602">
      <c r="B602" s="3"/>
      <c r="F602" s="3"/>
      <c r="G602" s="3"/>
    </row>
    <row r="603">
      <c r="B603" s="3"/>
      <c r="F603" s="3"/>
      <c r="G603" s="3"/>
    </row>
    <row r="604">
      <c r="B604" s="3"/>
      <c r="F604" s="3"/>
      <c r="G604" s="3"/>
    </row>
    <row r="605">
      <c r="B605" s="3"/>
      <c r="F605" s="3"/>
      <c r="G605" s="3"/>
    </row>
    <row r="606">
      <c r="B606" s="3"/>
      <c r="F606" s="3"/>
      <c r="G606" s="3"/>
    </row>
    <row r="607">
      <c r="B607" s="3"/>
      <c r="F607" s="3"/>
      <c r="G607" s="3"/>
    </row>
    <row r="608">
      <c r="B608" s="3"/>
      <c r="F608" s="3"/>
      <c r="G608" s="3"/>
    </row>
    <row r="609">
      <c r="B609" s="3"/>
      <c r="F609" s="3"/>
      <c r="G609" s="3"/>
    </row>
    <row r="610">
      <c r="B610" s="3"/>
      <c r="F610" s="3"/>
      <c r="G610" s="3"/>
    </row>
    <row r="611">
      <c r="B611" s="3"/>
      <c r="F611" s="3"/>
      <c r="G611" s="3"/>
    </row>
    <row r="612">
      <c r="B612" s="3"/>
      <c r="F612" s="3"/>
      <c r="G612" s="3"/>
    </row>
    <row r="613">
      <c r="B613" s="3"/>
      <c r="F613" s="3"/>
      <c r="G613" s="3"/>
    </row>
    <row r="614">
      <c r="B614" s="3"/>
      <c r="F614" s="3"/>
      <c r="G614" s="3"/>
    </row>
    <row r="615">
      <c r="B615" s="3"/>
      <c r="F615" s="3"/>
      <c r="G615" s="3"/>
    </row>
    <row r="616">
      <c r="B616" s="3"/>
      <c r="F616" s="3"/>
      <c r="G616" s="3"/>
    </row>
    <row r="617">
      <c r="B617" s="3"/>
      <c r="F617" s="3"/>
      <c r="G617" s="3"/>
    </row>
    <row r="618">
      <c r="B618" s="3"/>
      <c r="F618" s="3"/>
      <c r="G618" s="3"/>
    </row>
    <row r="619">
      <c r="B619" s="3"/>
      <c r="F619" s="3"/>
      <c r="G619" s="3"/>
    </row>
    <row r="620">
      <c r="B620" s="3"/>
      <c r="F620" s="3"/>
      <c r="G620" s="3"/>
    </row>
    <row r="621">
      <c r="B621" s="3"/>
      <c r="F621" s="3"/>
      <c r="G621" s="3"/>
    </row>
    <row r="622">
      <c r="B622" s="3"/>
      <c r="F622" s="3"/>
      <c r="G622" s="3"/>
    </row>
    <row r="623">
      <c r="B623" s="3"/>
      <c r="F623" s="3"/>
      <c r="G623" s="3"/>
    </row>
    <row r="624">
      <c r="B624" s="3"/>
      <c r="F624" s="3"/>
      <c r="G624" s="3"/>
    </row>
    <row r="625">
      <c r="B625" s="3"/>
      <c r="F625" s="3"/>
      <c r="G625" s="3"/>
    </row>
    <row r="626">
      <c r="B626" s="3"/>
      <c r="F626" s="3"/>
      <c r="G626" s="3"/>
    </row>
    <row r="627">
      <c r="B627" s="3"/>
      <c r="F627" s="3"/>
      <c r="G627" s="3"/>
    </row>
    <row r="628">
      <c r="B628" s="3"/>
      <c r="F628" s="3"/>
      <c r="G628" s="3"/>
    </row>
    <row r="629">
      <c r="B629" s="3"/>
      <c r="F629" s="3"/>
      <c r="G629" s="3"/>
    </row>
    <row r="630">
      <c r="B630" s="3"/>
      <c r="F630" s="3"/>
      <c r="G630" s="3"/>
    </row>
    <row r="631">
      <c r="B631" s="3"/>
      <c r="F631" s="3"/>
      <c r="G631" s="3"/>
    </row>
    <row r="632">
      <c r="B632" s="3"/>
      <c r="F632" s="3"/>
      <c r="G632" s="3"/>
    </row>
    <row r="633">
      <c r="B633" s="3"/>
      <c r="F633" s="3"/>
      <c r="G633" s="3"/>
    </row>
    <row r="634">
      <c r="B634" s="3"/>
      <c r="F634" s="3"/>
      <c r="G634" s="3"/>
    </row>
    <row r="635">
      <c r="B635" s="3"/>
      <c r="F635" s="3"/>
      <c r="G635" s="3"/>
    </row>
    <row r="636">
      <c r="B636" s="3"/>
      <c r="F636" s="3"/>
      <c r="G636" s="3"/>
    </row>
    <row r="637">
      <c r="B637" s="3"/>
      <c r="F637" s="3"/>
      <c r="G637" s="3"/>
    </row>
    <row r="638">
      <c r="B638" s="3"/>
      <c r="F638" s="3"/>
      <c r="G638" s="3"/>
    </row>
    <row r="639">
      <c r="B639" s="3"/>
      <c r="F639" s="3"/>
      <c r="G639" s="3"/>
    </row>
    <row r="640">
      <c r="B640" s="3"/>
      <c r="F640" s="3"/>
      <c r="G640" s="3"/>
    </row>
    <row r="641">
      <c r="B641" s="3"/>
      <c r="F641" s="3"/>
      <c r="G641" s="3"/>
    </row>
    <row r="642">
      <c r="B642" s="3"/>
      <c r="F642" s="3"/>
      <c r="G642" s="3"/>
    </row>
    <row r="643">
      <c r="B643" s="3"/>
      <c r="F643" s="3"/>
      <c r="G643" s="3"/>
    </row>
    <row r="644">
      <c r="B644" s="3"/>
      <c r="F644" s="3"/>
      <c r="G644" s="3"/>
    </row>
    <row r="645">
      <c r="B645" s="3"/>
      <c r="F645" s="3"/>
      <c r="G645" s="3"/>
    </row>
    <row r="646">
      <c r="B646" s="3"/>
      <c r="F646" s="3"/>
      <c r="G646" s="3"/>
    </row>
    <row r="647">
      <c r="B647" s="3"/>
      <c r="F647" s="3"/>
      <c r="G647" s="3"/>
    </row>
    <row r="648">
      <c r="B648" s="3"/>
      <c r="F648" s="3"/>
      <c r="G648" s="3"/>
    </row>
    <row r="649">
      <c r="B649" s="3"/>
      <c r="F649" s="3"/>
      <c r="G649" s="3"/>
    </row>
    <row r="650">
      <c r="B650" s="3"/>
      <c r="F650" s="3"/>
      <c r="G650" s="3"/>
    </row>
    <row r="651">
      <c r="B651" s="3"/>
      <c r="F651" s="3"/>
      <c r="G651" s="3"/>
    </row>
    <row r="652">
      <c r="B652" s="3"/>
      <c r="F652" s="3"/>
      <c r="G652" s="3"/>
    </row>
    <row r="653">
      <c r="B653" s="3"/>
      <c r="F653" s="3"/>
      <c r="G653" s="3"/>
    </row>
    <row r="654">
      <c r="B654" s="3"/>
      <c r="F654" s="3"/>
      <c r="G654" s="3"/>
    </row>
    <row r="655">
      <c r="B655" s="3"/>
      <c r="F655" s="3"/>
      <c r="G655" s="3"/>
    </row>
    <row r="656">
      <c r="B656" s="3"/>
      <c r="F656" s="3"/>
      <c r="G656" s="3"/>
    </row>
    <row r="657">
      <c r="B657" s="3"/>
      <c r="F657" s="3"/>
      <c r="G657" s="3"/>
    </row>
    <row r="658">
      <c r="B658" s="3"/>
      <c r="F658" s="3"/>
      <c r="G658" s="3"/>
    </row>
    <row r="659">
      <c r="B659" s="3"/>
      <c r="F659" s="3"/>
      <c r="G659" s="3"/>
    </row>
    <row r="660">
      <c r="B660" s="3"/>
      <c r="F660" s="3"/>
      <c r="G660" s="3"/>
    </row>
    <row r="661">
      <c r="B661" s="3"/>
      <c r="F661" s="3"/>
      <c r="G661" s="3"/>
    </row>
    <row r="662">
      <c r="B662" s="3"/>
      <c r="F662" s="3"/>
      <c r="G662" s="3"/>
    </row>
    <row r="663">
      <c r="B663" s="3"/>
      <c r="F663" s="3"/>
      <c r="G663" s="3"/>
    </row>
    <row r="664">
      <c r="B664" s="3"/>
      <c r="F664" s="3"/>
      <c r="G664" s="3"/>
    </row>
    <row r="665">
      <c r="B665" s="3"/>
      <c r="F665" s="3"/>
      <c r="G665" s="3"/>
    </row>
    <row r="666">
      <c r="B666" s="3"/>
      <c r="F666" s="3"/>
      <c r="G666" s="3"/>
    </row>
    <row r="667">
      <c r="B667" s="3"/>
      <c r="F667" s="3"/>
      <c r="G667" s="3"/>
    </row>
    <row r="668">
      <c r="B668" s="3"/>
      <c r="F668" s="3"/>
      <c r="G668" s="3"/>
    </row>
    <row r="669">
      <c r="B669" s="3"/>
      <c r="F669" s="3"/>
      <c r="G669" s="3"/>
    </row>
    <row r="670">
      <c r="B670" s="3"/>
      <c r="F670" s="3"/>
      <c r="G670" s="3"/>
    </row>
    <row r="671">
      <c r="B671" s="3"/>
      <c r="F671" s="3"/>
      <c r="G671" s="3"/>
    </row>
    <row r="672">
      <c r="B672" s="3"/>
      <c r="F672" s="3"/>
      <c r="G672" s="3"/>
    </row>
    <row r="673">
      <c r="B673" s="3"/>
      <c r="F673" s="3"/>
      <c r="G673" s="3"/>
    </row>
    <row r="674">
      <c r="B674" s="3"/>
      <c r="F674" s="3"/>
      <c r="G674" s="3"/>
    </row>
    <row r="675">
      <c r="B675" s="3"/>
      <c r="F675" s="3"/>
      <c r="G675" s="3"/>
    </row>
    <row r="676">
      <c r="B676" s="3"/>
      <c r="F676" s="3"/>
      <c r="G676" s="3"/>
    </row>
    <row r="677">
      <c r="B677" s="3"/>
      <c r="F677" s="3"/>
      <c r="G677" s="3"/>
    </row>
    <row r="678">
      <c r="B678" s="3"/>
      <c r="F678" s="3"/>
      <c r="G678" s="3"/>
    </row>
    <row r="679">
      <c r="B679" s="3"/>
      <c r="F679" s="3"/>
      <c r="G679" s="3"/>
    </row>
    <row r="680">
      <c r="B680" s="3"/>
      <c r="F680" s="3"/>
      <c r="G680" s="3"/>
    </row>
    <row r="681">
      <c r="B681" s="3"/>
      <c r="F681" s="3"/>
      <c r="G681" s="3"/>
    </row>
    <row r="682">
      <c r="B682" s="3"/>
      <c r="F682" s="3"/>
      <c r="G682" s="3"/>
    </row>
    <row r="683">
      <c r="B683" s="3"/>
      <c r="F683" s="3"/>
      <c r="G683" s="3"/>
    </row>
    <row r="684">
      <c r="B684" s="3"/>
      <c r="F684" s="3"/>
      <c r="G684" s="3"/>
    </row>
    <row r="685">
      <c r="B685" s="3"/>
      <c r="F685" s="3"/>
      <c r="G685" s="3"/>
    </row>
    <row r="686">
      <c r="B686" s="3"/>
      <c r="F686" s="3"/>
      <c r="G686" s="3"/>
    </row>
    <row r="687">
      <c r="B687" s="3"/>
      <c r="F687" s="3"/>
      <c r="G687" s="3"/>
    </row>
    <row r="688">
      <c r="B688" s="3"/>
      <c r="F688" s="3"/>
      <c r="G688" s="3"/>
    </row>
    <row r="689">
      <c r="B689" s="3"/>
      <c r="F689" s="3"/>
      <c r="G689" s="3"/>
    </row>
    <row r="690">
      <c r="B690" s="3"/>
      <c r="F690" s="3"/>
      <c r="G690" s="3"/>
    </row>
    <row r="691">
      <c r="B691" s="3"/>
      <c r="F691" s="3"/>
      <c r="G691" s="3"/>
    </row>
    <row r="692">
      <c r="B692" s="3"/>
      <c r="F692" s="3"/>
      <c r="G692" s="3"/>
    </row>
    <row r="693">
      <c r="B693" s="3"/>
      <c r="F693" s="3"/>
      <c r="G693" s="3"/>
    </row>
    <row r="694">
      <c r="B694" s="3"/>
      <c r="F694" s="3"/>
      <c r="G694" s="3"/>
    </row>
    <row r="695">
      <c r="B695" s="3"/>
      <c r="F695" s="3"/>
      <c r="G695" s="3"/>
    </row>
    <row r="696">
      <c r="B696" s="3"/>
      <c r="F696" s="3"/>
      <c r="G696" s="3"/>
    </row>
    <row r="697">
      <c r="B697" s="3"/>
      <c r="F697" s="3"/>
      <c r="G697" s="3"/>
    </row>
    <row r="698">
      <c r="B698" s="3"/>
      <c r="F698" s="3"/>
      <c r="G698" s="3"/>
    </row>
    <row r="699">
      <c r="B699" s="3"/>
      <c r="F699" s="3"/>
      <c r="G699" s="3"/>
    </row>
    <row r="700">
      <c r="B700" s="3"/>
      <c r="F700" s="3"/>
      <c r="G700" s="3"/>
    </row>
    <row r="701">
      <c r="B701" s="3"/>
      <c r="F701" s="3"/>
      <c r="G701" s="3"/>
    </row>
    <row r="702">
      <c r="B702" s="3"/>
      <c r="F702" s="3"/>
      <c r="G702" s="3"/>
    </row>
    <row r="703">
      <c r="B703" s="3"/>
      <c r="F703" s="3"/>
      <c r="G703" s="3"/>
    </row>
    <row r="704">
      <c r="B704" s="3"/>
      <c r="F704" s="3"/>
      <c r="G704" s="3"/>
    </row>
    <row r="705">
      <c r="B705" s="3"/>
      <c r="F705" s="3"/>
      <c r="G705" s="3"/>
    </row>
    <row r="706">
      <c r="B706" s="3"/>
      <c r="F706" s="3"/>
      <c r="G706" s="3"/>
    </row>
    <row r="707">
      <c r="B707" s="3"/>
      <c r="F707" s="3"/>
      <c r="G707" s="3"/>
    </row>
    <row r="708">
      <c r="B708" s="3"/>
      <c r="F708" s="3"/>
      <c r="G708" s="3"/>
    </row>
    <row r="709">
      <c r="B709" s="3"/>
      <c r="F709" s="3"/>
      <c r="G709" s="3"/>
    </row>
    <row r="710">
      <c r="B710" s="3"/>
      <c r="F710" s="3"/>
      <c r="G710" s="3"/>
    </row>
    <row r="711">
      <c r="B711" s="3"/>
      <c r="F711" s="3"/>
      <c r="G711" s="3"/>
    </row>
    <row r="712">
      <c r="B712" s="3"/>
      <c r="F712" s="3"/>
      <c r="G712" s="3"/>
    </row>
    <row r="713">
      <c r="B713" s="3"/>
      <c r="F713" s="3"/>
      <c r="G713" s="3"/>
    </row>
    <row r="714">
      <c r="B714" s="3"/>
      <c r="F714" s="3"/>
      <c r="G714" s="3"/>
    </row>
    <row r="715">
      <c r="B715" s="3"/>
      <c r="F715" s="3"/>
      <c r="G715" s="3"/>
    </row>
    <row r="716">
      <c r="B716" s="3"/>
      <c r="F716" s="3"/>
      <c r="G716" s="3"/>
    </row>
    <row r="717">
      <c r="B717" s="3"/>
      <c r="F717" s="3"/>
      <c r="G717" s="3"/>
    </row>
    <row r="718">
      <c r="B718" s="3"/>
      <c r="F718" s="3"/>
      <c r="G718" s="3"/>
    </row>
    <row r="719">
      <c r="B719" s="3"/>
      <c r="F719" s="3"/>
      <c r="G719" s="3"/>
    </row>
    <row r="720">
      <c r="B720" s="3"/>
      <c r="F720" s="3"/>
      <c r="G720" s="3"/>
    </row>
    <row r="721">
      <c r="B721" s="3"/>
      <c r="F721" s="3"/>
      <c r="G721" s="3"/>
    </row>
    <row r="722">
      <c r="B722" s="3"/>
      <c r="F722" s="3"/>
      <c r="G722" s="3"/>
    </row>
    <row r="723">
      <c r="B723" s="3"/>
      <c r="F723" s="3"/>
      <c r="G723" s="3"/>
    </row>
    <row r="724">
      <c r="B724" s="3"/>
      <c r="F724" s="3"/>
      <c r="G724" s="3"/>
    </row>
    <row r="725">
      <c r="B725" s="3"/>
      <c r="F725" s="3"/>
      <c r="G725" s="3"/>
    </row>
    <row r="726">
      <c r="B726" s="3"/>
      <c r="F726" s="3"/>
      <c r="G726" s="3"/>
    </row>
    <row r="727">
      <c r="B727" s="3"/>
      <c r="F727" s="3"/>
      <c r="G727" s="3"/>
    </row>
    <row r="728">
      <c r="B728" s="3"/>
      <c r="F728" s="3"/>
      <c r="G728" s="3"/>
    </row>
    <row r="729">
      <c r="B729" s="3"/>
      <c r="F729" s="3"/>
      <c r="G729" s="3"/>
    </row>
    <row r="730">
      <c r="B730" s="3"/>
      <c r="F730" s="3"/>
      <c r="G730" s="3"/>
    </row>
    <row r="731">
      <c r="B731" s="3"/>
      <c r="F731" s="3"/>
      <c r="G731" s="3"/>
    </row>
    <row r="732">
      <c r="B732" s="3"/>
      <c r="F732" s="3"/>
      <c r="G732" s="3"/>
    </row>
    <row r="733">
      <c r="B733" s="3"/>
      <c r="F733" s="3"/>
      <c r="G733" s="3"/>
    </row>
    <row r="734">
      <c r="B734" s="3"/>
      <c r="F734" s="3"/>
      <c r="G734" s="3"/>
    </row>
    <row r="735">
      <c r="B735" s="3"/>
      <c r="F735" s="3"/>
      <c r="G735" s="3"/>
    </row>
    <row r="736">
      <c r="B736" s="3"/>
      <c r="F736" s="3"/>
      <c r="G736" s="3"/>
    </row>
    <row r="737">
      <c r="B737" s="3"/>
      <c r="F737" s="3"/>
      <c r="G737" s="3"/>
    </row>
    <row r="738">
      <c r="B738" s="3"/>
      <c r="F738" s="3"/>
      <c r="G738" s="3"/>
    </row>
    <row r="739">
      <c r="B739" s="3"/>
      <c r="F739" s="3"/>
      <c r="G739" s="3"/>
    </row>
    <row r="740">
      <c r="B740" s="3"/>
      <c r="F740" s="3"/>
      <c r="G740" s="3"/>
    </row>
    <row r="741">
      <c r="B741" s="3"/>
      <c r="F741" s="3"/>
      <c r="G741" s="3"/>
    </row>
    <row r="742">
      <c r="B742" s="3"/>
      <c r="F742" s="3"/>
      <c r="G742" s="3"/>
    </row>
    <row r="743">
      <c r="B743" s="3"/>
      <c r="F743" s="3"/>
      <c r="G743" s="3"/>
    </row>
    <row r="744">
      <c r="B744" s="3"/>
      <c r="F744" s="3"/>
      <c r="G744" s="3"/>
    </row>
    <row r="745">
      <c r="B745" s="3"/>
      <c r="F745" s="3"/>
      <c r="G745" s="3"/>
    </row>
    <row r="746">
      <c r="B746" s="3"/>
      <c r="F746" s="3"/>
      <c r="G746" s="3"/>
    </row>
    <row r="747">
      <c r="B747" s="3"/>
      <c r="F747" s="3"/>
      <c r="G747" s="3"/>
    </row>
    <row r="748">
      <c r="B748" s="3"/>
      <c r="F748" s="3"/>
      <c r="G748" s="3"/>
    </row>
    <row r="749">
      <c r="B749" s="3"/>
      <c r="F749" s="3"/>
      <c r="G749" s="3"/>
    </row>
    <row r="750">
      <c r="B750" s="3"/>
      <c r="F750" s="3"/>
      <c r="G750" s="3"/>
    </row>
    <row r="751">
      <c r="B751" s="3"/>
      <c r="F751" s="3"/>
      <c r="G751" s="3"/>
    </row>
    <row r="752">
      <c r="B752" s="3"/>
      <c r="F752" s="3"/>
      <c r="G752" s="3"/>
    </row>
    <row r="753">
      <c r="B753" s="3"/>
      <c r="F753" s="3"/>
      <c r="G753" s="3"/>
    </row>
    <row r="754">
      <c r="B754" s="3"/>
      <c r="F754" s="3"/>
      <c r="G754" s="3"/>
    </row>
    <row r="755">
      <c r="B755" s="3"/>
      <c r="F755" s="3"/>
      <c r="G755" s="3"/>
    </row>
    <row r="756">
      <c r="B756" s="3"/>
      <c r="F756" s="3"/>
      <c r="G756" s="3"/>
    </row>
    <row r="757">
      <c r="B757" s="3"/>
      <c r="F757" s="3"/>
      <c r="G757" s="3"/>
    </row>
    <row r="758">
      <c r="B758" s="3"/>
      <c r="F758" s="3"/>
      <c r="G758" s="3"/>
    </row>
    <row r="759">
      <c r="B759" s="3"/>
      <c r="F759" s="3"/>
      <c r="G759" s="3"/>
    </row>
    <row r="760">
      <c r="B760" s="3"/>
      <c r="F760" s="3"/>
      <c r="G760" s="3"/>
    </row>
    <row r="761">
      <c r="B761" s="3"/>
      <c r="F761" s="3"/>
      <c r="G761" s="3"/>
    </row>
    <row r="762">
      <c r="B762" s="3"/>
      <c r="F762" s="3"/>
      <c r="G762" s="3"/>
    </row>
    <row r="763">
      <c r="B763" s="3"/>
      <c r="F763" s="3"/>
      <c r="G763" s="3"/>
    </row>
    <row r="764">
      <c r="B764" s="3"/>
      <c r="F764" s="3"/>
      <c r="G764" s="3"/>
    </row>
    <row r="765">
      <c r="B765" s="3"/>
      <c r="F765" s="3"/>
      <c r="G765" s="3"/>
    </row>
    <row r="766">
      <c r="B766" s="3"/>
      <c r="F766" s="3"/>
      <c r="G766" s="3"/>
    </row>
    <row r="767">
      <c r="B767" s="3"/>
      <c r="F767" s="3"/>
      <c r="G767" s="3"/>
    </row>
    <row r="768">
      <c r="B768" s="3"/>
      <c r="F768" s="3"/>
      <c r="G768" s="3"/>
    </row>
    <row r="769">
      <c r="B769" s="3"/>
      <c r="F769" s="3"/>
      <c r="G769" s="3"/>
    </row>
    <row r="770">
      <c r="B770" s="3"/>
      <c r="F770" s="3"/>
      <c r="G770" s="3"/>
    </row>
    <row r="771">
      <c r="B771" s="3"/>
      <c r="F771" s="3"/>
      <c r="G771" s="3"/>
    </row>
    <row r="772">
      <c r="B772" s="3"/>
      <c r="F772" s="3"/>
      <c r="G772" s="3"/>
    </row>
    <row r="773">
      <c r="B773" s="3"/>
      <c r="F773" s="3"/>
      <c r="G773" s="3"/>
    </row>
    <row r="774">
      <c r="B774" s="3"/>
      <c r="F774" s="3"/>
      <c r="G774" s="3"/>
    </row>
    <row r="775">
      <c r="B775" s="3"/>
      <c r="F775" s="3"/>
      <c r="G775" s="3"/>
    </row>
    <row r="776">
      <c r="B776" s="3"/>
      <c r="F776" s="3"/>
      <c r="G776" s="3"/>
    </row>
    <row r="777">
      <c r="B777" s="3"/>
      <c r="F777" s="3"/>
      <c r="G777" s="3"/>
    </row>
    <row r="778">
      <c r="B778" s="3"/>
      <c r="F778" s="3"/>
      <c r="G778" s="3"/>
    </row>
    <row r="779">
      <c r="B779" s="3"/>
      <c r="F779" s="3"/>
      <c r="G779" s="3"/>
    </row>
    <row r="780">
      <c r="B780" s="3"/>
      <c r="F780" s="3"/>
      <c r="G780" s="3"/>
    </row>
    <row r="781">
      <c r="B781" s="3"/>
      <c r="F781" s="3"/>
      <c r="G781" s="3"/>
    </row>
    <row r="782">
      <c r="B782" s="3"/>
      <c r="F782" s="3"/>
      <c r="G782" s="3"/>
    </row>
    <row r="783">
      <c r="B783" s="3"/>
      <c r="F783" s="3"/>
      <c r="G783" s="3"/>
    </row>
    <row r="784">
      <c r="B784" s="3"/>
      <c r="F784" s="3"/>
      <c r="G784" s="3"/>
    </row>
    <row r="785">
      <c r="B785" s="3"/>
      <c r="F785" s="3"/>
      <c r="G785" s="3"/>
    </row>
    <row r="786">
      <c r="B786" s="3"/>
      <c r="F786" s="3"/>
      <c r="G786" s="3"/>
    </row>
    <row r="787">
      <c r="B787" s="3"/>
      <c r="F787" s="3"/>
      <c r="G787" s="3"/>
    </row>
    <row r="788">
      <c r="B788" s="3"/>
      <c r="F788" s="3"/>
      <c r="G788" s="3"/>
    </row>
    <row r="789">
      <c r="B789" s="3"/>
      <c r="F789" s="3"/>
      <c r="G789" s="3"/>
    </row>
    <row r="790">
      <c r="B790" s="3"/>
      <c r="F790" s="3"/>
      <c r="G790" s="3"/>
    </row>
    <row r="791">
      <c r="B791" s="3"/>
      <c r="F791" s="3"/>
      <c r="G791" s="3"/>
    </row>
    <row r="792">
      <c r="B792" s="3"/>
      <c r="F792" s="3"/>
      <c r="G792" s="3"/>
    </row>
    <row r="793">
      <c r="B793" s="3"/>
      <c r="F793" s="3"/>
      <c r="G793" s="3"/>
    </row>
    <row r="794">
      <c r="B794" s="3"/>
      <c r="F794" s="3"/>
      <c r="G794" s="3"/>
    </row>
    <row r="795">
      <c r="B795" s="3"/>
      <c r="F795" s="3"/>
      <c r="G795" s="3"/>
    </row>
    <row r="796">
      <c r="B796" s="3"/>
      <c r="F796" s="3"/>
      <c r="G796" s="3"/>
    </row>
    <row r="797">
      <c r="B797" s="3"/>
      <c r="F797" s="3"/>
      <c r="G797" s="3"/>
    </row>
    <row r="798">
      <c r="B798" s="3"/>
      <c r="F798" s="3"/>
      <c r="G798" s="3"/>
    </row>
    <row r="799">
      <c r="B799" s="3"/>
      <c r="F799" s="3"/>
      <c r="G799" s="3"/>
    </row>
    <row r="800">
      <c r="B800" s="3"/>
      <c r="F800" s="3"/>
      <c r="G800" s="3"/>
    </row>
    <row r="801">
      <c r="B801" s="3"/>
      <c r="F801" s="3"/>
      <c r="G801" s="3"/>
    </row>
    <row r="802">
      <c r="B802" s="3"/>
      <c r="F802" s="3"/>
      <c r="G802" s="3"/>
    </row>
    <row r="803">
      <c r="B803" s="3"/>
      <c r="F803" s="3"/>
      <c r="G803" s="3"/>
    </row>
    <row r="804">
      <c r="B804" s="3"/>
      <c r="F804" s="3"/>
      <c r="G804" s="3"/>
    </row>
    <row r="805">
      <c r="B805" s="3"/>
      <c r="F805" s="3"/>
      <c r="G805" s="3"/>
    </row>
    <row r="806">
      <c r="B806" s="3"/>
      <c r="F806" s="3"/>
      <c r="G806" s="3"/>
    </row>
    <row r="807">
      <c r="B807" s="3"/>
      <c r="F807" s="3"/>
      <c r="G807" s="3"/>
    </row>
    <row r="808">
      <c r="B808" s="3"/>
      <c r="F808" s="3"/>
      <c r="G808" s="3"/>
    </row>
    <row r="809">
      <c r="B809" s="3"/>
      <c r="F809" s="3"/>
      <c r="G809" s="3"/>
    </row>
    <row r="810">
      <c r="B810" s="3"/>
      <c r="F810" s="3"/>
      <c r="G810" s="3"/>
    </row>
    <row r="811">
      <c r="B811" s="3"/>
      <c r="F811" s="3"/>
      <c r="G811" s="3"/>
    </row>
    <row r="812">
      <c r="B812" s="3"/>
      <c r="F812" s="3"/>
      <c r="G812" s="3"/>
    </row>
    <row r="813">
      <c r="B813" s="3"/>
      <c r="F813" s="3"/>
      <c r="G813" s="3"/>
    </row>
    <row r="814">
      <c r="B814" s="3"/>
      <c r="F814" s="3"/>
      <c r="G814" s="3"/>
    </row>
    <row r="815">
      <c r="B815" s="3"/>
      <c r="F815" s="3"/>
      <c r="G815" s="3"/>
    </row>
    <row r="816">
      <c r="B816" s="3"/>
      <c r="F816" s="3"/>
      <c r="G816" s="3"/>
    </row>
    <row r="817">
      <c r="B817" s="3"/>
      <c r="F817" s="3"/>
      <c r="G817" s="3"/>
    </row>
    <row r="818">
      <c r="B818" s="3"/>
      <c r="F818" s="3"/>
      <c r="G818" s="3"/>
    </row>
    <row r="819">
      <c r="B819" s="3"/>
      <c r="F819" s="3"/>
      <c r="G819" s="3"/>
    </row>
    <row r="820">
      <c r="B820" s="3"/>
      <c r="F820" s="3"/>
      <c r="G820" s="3"/>
    </row>
    <row r="821">
      <c r="B821" s="3"/>
      <c r="F821" s="3"/>
      <c r="G821" s="3"/>
    </row>
    <row r="822">
      <c r="B822" s="3"/>
      <c r="F822" s="3"/>
      <c r="G822" s="3"/>
    </row>
    <row r="823">
      <c r="B823" s="3"/>
      <c r="F823" s="3"/>
      <c r="G823" s="3"/>
    </row>
    <row r="824">
      <c r="B824" s="3"/>
      <c r="F824" s="3"/>
      <c r="G824" s="3"/>
    </row>
    <row r="825">
      <c r="B825" s="3"/>
      <c r="F825" s="3"/>
      <c r="G825" s="3"/>
    </row>
    <row r="826">
      <c r="B826" s="3"/>
      <c r="F826" s="3"/>
      <c r="G826" s="3"/>
    </row>
    <row r="827">
      <c r="B827" s="3"/>
      <c r="F827" s="3"/>
      <c r="G827" s="3"/>
    </row>
    <row r="828">
      <c r="B828" s="3"/>
      <c r="F828" s="3"/>
      <c r="G828" s="3"/>
    </row>
    <row r="829">
      <c r="B829" s="3"/>
      <c r="F829" s="3"/>
      <c r="G829" s="3"/>
    </row>
    <row r="830">
      <c r="B830" s="3"/>
      <c r="F830" s="3"/>
      <c r="G830" s="3"/>
    </row>
    <row r="831">
      <c r="B831" s="3"/>
      <c r="F831" s="3"/>
      <c r="G831" s="3"/>
    </row>
    <row r="832">
      <c r="B832" s="3"/>
      <c r="F832" s="3"/>
      <c r="G832" s="3"/>
    </row>
    <row r="833">
      <c r="B833" s="3"/>
      <c r="F833" s="3"/>
      <c r="G833" s="3"/>
    </row>
    <row r="834">
      <c r="B834" s="3"/>
      <c r="F834" s="3"/>
      <c r="G834" s="3"/>
    </row>
    <row r="835">
      <c r="B835" s="3"/>
      <c r="F835" s="3"/>
      <c r="G835" s="3"/>
    </row>
    <row r="836">
      <c r="B836" s="3"/>
      <c r="F836" s="3"/>
      <c r="G836" s="3"/>
    </row>
    <row r="837">
      <c r="B837" s="3"/>
      <c r="F837" s="3"/>
      <c r="G837" s="3"/>
    </row>
    <row r="838">
      <c r="B838" s="3"/>
      <c r="F838" s="3"/>
      <c r="G838" s="3"/>
    </row>
    <row r="839">
      <c r="B839" s="3"/>
      <c r="F839" s="3"/>
      <c r="G839" s="3"/>
    </row>
    <row r="840">
      <c r="B840" s="3"/>
      <c r="F840" s="3"/>
      <c r="G840" s="3"/>
    </row>
    <row r="841">
      <c r="B841" s="3"/>
      <c r="F841" s="3"/>
      <c r="G841" s="3"/>
    </row>
    <row r="842">
      <c r="B842" s="3"/>
      <c r="F842" s="3"/>
      <c r="G842" s="3"/>
    </row>
    <row r="843">
      <c r="B843" s="3"/>
      <c r="F843" s="3"/>
      <c r="G843" s="3"/>
    </row>
    <row r="844">
      <c r="B844" s="3"/>
      <c r="F844" s="3"/>
      <c r="G844" s="3"/>
    </row>
    <row r="845">
      <c r="B845" s="3"/>
      <c r="F845" s="3"/>
      <c r="G845" s="3"/>
    </row>
    <row r="846">
      <c r="B846" s="3"/>
      <c r="F846" s="3"/>
      <c r="G846" s="3"/>
    </row>
    <row r="847">
      <c r="B847" s="3"/>
      <c r="F847" s="3"/>
      <c r="G847" s="3"/>
    </row>
    <row r="848">
      <c r="B848" s="3"/>
      <c r="F848" s="3"/>
      <c r="G848" s="3"/>
    </row>
    <row r="849">
      <c r="B849" s="3"/>
      <c r="F849" s="3"/>
      <c r="G849" s="3"/>
    </row>
    <row r="850">
      <c r="B850" s="3"/>
      <c r="F850" s="3"/>
      <c r="G850" s="3"/>
    </row>
    <row r="851">
      <c r="B851" s="3"/>
      <c r="F851" s="3"/>
      <c r="G851" s="3"/>
    </row>
    <row r="852">
      <c r="B852" s="3"/>
      <c r="F852" s="3"/>
      <c r="G852" s="3"/>
    </row>
    <row r="853">
      <c r="B853" s="3"/>
      <c r="F853" s="3"/>
      <c r="G853" s="3"/>
    </row>
    <row r="854">
      <c r="B854" s="3"/>
      <c r="F854" s="3"/>
      <c r="G854" s="3"/>
    </row>
    <row r="855">
      <c r="B855" s="3"/>
      <c r="F855" s="3"/>
      <c r="G855" s="3"/>
    </row>
    <row r="856">
      <c r="B856" s="3"/>
      <c r="F856" s="3"/>
      <c r="G856" s="3"/>
    </row>
    <row r="857">
      <c r="B857" s="3"/>
      <c r="F857" s="3"/>
      <c r="G857" s="3"/>
    </row>
    <row r="858">
      <c r="B858" s="3"/>
      <c r="F858" s="3"/>
      <c r="G858" s="3"/>
    </row>
    <row r="859">
      <c r="B859" s="3"/>
      <c r="F859" s="3"/>
      <c r="G859" s="3"/>
    </row>
    <row r="860">
      <c r="B860" s="3"/>
      <c r="F860" s="3"/>
      <c r="G860" s="3"/>
    </row>
    <row r="861">
      <c r="B861" s="3"/>
      <c r="F861" s="3"/>
      <c r="G861" s="3"/>
    </row>
    <row r="862">
      <c r="B862" s="3"/>
      <c r="F862" s="3"/>
      <c r="G862" s="3"/>
    </row>
    <row r="863">
      <c r="B863" s="3"/>
      <c r="F863" s="3"/>
      <c r="G863" s="3"/>
    </row>
    <row r="864">
      <c r="B864" s="3"/>
      <c r="F864" s="3"/>
      <c r="G864" s="3"/>
    </row>
    <row r="865">
      <c r="B865" s="3"/>
      <c r="F865" s="3"/>
      <c r="G865" s="3"/>
    </row>
    <row r="866">
      <c r="B866" s="3"/>
      <c r="F866" s="3"/>
      <c r="G866" s="3"/>
    </row>
    <row r="867">
      <c r="B867" s="3"/>
      <c r="F867" s="3"/>
      <c r="G867" s="3"/>
    </row>
    <row r="868">
      <c r="B868" s="3"/>
      <c r="F868" s="3"/>
      <c r="G868" s="3"/>
    </row>
    <row r="869">
      <c r="B869" s="3"/>
      <c r="F869" s="3"/>
      <c r="G869" s="3"/>
    </row>
    <row r="870">
      <c r="B870" s="3"/>
      <c r="F870" s="3"/>
      <c r="G870" s="3"/>
    </row>
    <row r="871">
      <c r="B871" s="3"/>
      <c r="F871" s="3"/>
      <c r="G871" s="3"/>
    </row>
    <row r="872">
      <c r="B872" s="3"/>
      <c r="F872" s="3"/>
      <c r="G872" s="3"/>
    </row>
    <row r="873">
      <c r="B873" s="3"/>
      <c r="F873" s="3"/>
      <c r="G873" s="3"/>
    </row>
    <row r="874">
      <c r="B874" s="3"/>
      <c r="F874" s="3"/>
      <c r="G874" s="3"/>
    </row>
    <row r="875">
      <c r="B875" s="3"/>
      <c r="F875" s="3"/>
      <c r="G875" s="3"/>
    </row>
    <row r="876">
      <c r="B876" s="3"/>
      <c r="F876" s="3"/>
      <c r="G876" s="3"/>
    </row>
    <row r="877">
      <c r="B877" s="3"/>
      <c r="F877" s="3"/>
      <c r="G877" s="3"/>
    </row>
    <row r="878">
      <c r="B878" s="3"/>
      <c r="F878" s="3"/>
      <c r="G878" s="3"/>
    </row>
    <row r="879">
      <c r="B879" s="3"/>
      <c r="F879" s="3"/>
      <c r="G879" s="3"/>
    </row>
    <row r="880">
      <c r="B880" s="3"/>
      <c r="F880" s="3"/>
      <c r="G880" s="3"/>
    </row>
    <row r="881">
      <c r="B881" s="3"/>
      <c r="F881" s="3"/>
      <c r="G881" s="3"/>
    </row>
    <row r="882">
      <c r="B882" s="3"/>
      <c r="F882" s="3"/>
      <c r="G882" s="3"/>
    </row>
    <row r="883">
      <c r="B883" s="3"/>
      <c r="F883" s="3"/>
      <c r="G883" s="3"/>
    </row>
    <row r="884">
      <c r="B884" s="3"/>
      <c r="F884" s="3"/>
      <c r="G884" s="3"/>
    </row>
    <row r="885">
      <c r="B885" s="3"/>
      <c r="F885" s="3"/>
      <c r="G885" s="3"/>
    </row>
    <row r="886">
      <c r="B886" s="3"/>
      <c r="F886" s="3"/>
      <c r="G886" s="3"/>
    </row>
    <row r="887">
      <c r="B887" s="3"/>
      <c r="F887" s="3"/>
      <c r="G887" s="3"/>
    </row>
    <row r="888">
      <c r="B888" s="3"/>
      <c r="F888" s="3"/>
      <c r="G888" s="3"/>
    </row>
    <row r="889">
      <c r="B889" s="3"/>
      <c r="F889" s="3"/>
      <c r="G889" s="3"/>
    </row>
    <row r="890">
      <c r="B890" s="3"/>
      <c r="F890" s="3"/>
      <c r="G890" s="3"/>
    </row>
    <row r="891">
      <c r="B891" s="3"/>
      <c r="F891" s="3"/>
      <c r="G891" s="3"/>
    </row>
    <row r="892">
      <c r="B892" s="3"/>
      <c r="F892" s="3"/>
      <c r="G892" s="3"/>
    </row>
    <row r="893">
      <c r="B893" s="3"/>
      <c r="F893" s="3"/>
      <c r="G893" s="3"/>
    </row>
    <row r="894">
      <c r="B894" s="3"/>
      <c r="F894" s="3"/>
      <c r="G894" s="3"/>
    </row>
    <row r="895">
      <c r="B895" s="3"/>
      <c r="F895" s="3"/>
      <c r="G895" s="3"/>
    </row>
    <row r="896">
      <c r="B896" s="3"/>
      <c r="F896" s="3"/>
      <c r="G896" s="3"/>
    </row>
    <row r="897">
      <c r="B897" s="3"/>
      <c r="F897" s="3"/>
      <c r="G897" s="3"/>
    </row>
    <row r="898">
      <c r="B898" s="3"/>
      <c r="F898" s="3"/>
      <c r="G898" s="3"/>
    </row>
    <row r="899">
      <c r="B899" s="3"/>
      <c r="F899" s="3"/>
      <c r="G899" s="3"/>
    </row>
    <row r="900">
      <c r="B900" s="3"/>
      <c r="F900" s="3"/>
      <c r="G900" s="3"/>
    </row>
    <row r="901">
      <c r="B901" s="3"/>
      <c r="F901" s="3"/>
      <c r="G901" s="3"/>
    </row>
    <row r="902">
      <c r="B902" s="3"/>
      <c r="F902" s="3"/>
      <c r="G902" s="3"/>
    </row>
    <row r="903">
      <c r="B903" s="3"/>
      <c r="F903" s="3"/>
      <c r="G903" s="3"/>
    </row>
    <row r="904">
      <c r="B904" s="3"/>
      <c r="F904" s="3"/>
      <c r="G904" s="3"/>
    </row>
    <row r="905">
      <c r="B905" s="3"/>
      <c r="F905" s="3"/>
      <c r="G905" s="3"/>
    </row>
    <row r="906">
      <c r="B906" s="3"/>
      <c r="F906" s="3"/>
      <c r="G906" s="3"/>
    </row>
    <row r="907">
      <c r="B907" s="3"/>
      <c r="F907" s="3"/>
      <c r="G907" s="3"/>
    </row>
    <row r="908">
      <c r="B908" s="3"/>
      <c r="F908" s="3"/>
      <c r="G908" s="3"/>
    </row>
    <row r="909">
      <c r="B909" s="3"/>
      <c r="F909" s="3"/>
      <c r="G909" s="3"/>
    </row>
    <row r="910">
      <c r="B910" s="3"/>
      <c r="F910" s="3"/>
      <c r="G910" s="3"/>
    </row>
    <row r="911">
      <c r="B911" s="3"/>
      <c r="F911" s="3"/>
      <c r="G911" s="3"/>
    </row>
    <row r="912">
      <c r="B912" s="3"/>
      <c r="F912" s="3"/>
      <c r="G912" s="3"/>
    </row>
    <row r="913">
      <c r="B913" s="3"/>
      <c r="F913" s="3"/>
      <c r="G913" s="3"/>
    </row>
    <row r="914">
      <c r="B914" s="3"/>
      <c r="F914" s="3"/>
      <c r="G914" s="3"/>
    </row>
    <row r="915">
      <c r="B915" s="3"/>
      <c r="F915" s="3"/>
      <c r="G915" s="3"/>
    </row>
    <row r="916">
      <c r="B916" s="3"/>
      <c r="F916" s="3"/>
      <c r="G916" s="3"/>
    </row>
    <row r="917">
      <c r="B917" s="3"/>
      <c r="F917" s="3"/>
      <c r="G917" s="3"/>
    </row>
    <row r="918">
      <c r="B918" s="3"/>
      <c r="F918" s="3"/>
      <c r="G918" s="3"/>
    </row>
    <row r="919">
      <c r="B919" s="3"/>
      <c r="F919" s="3"/>
      <c r="G919" s="3"/>
    </row>
    <row r="920">
      <c r="B920" s="3"/>
      <c r="F920" s="3"/>
      <c r="G920" s="3"/>
    </row>
    <row r="921">
      <c r="B921" s="3"/>
      <c r="F921" s="3"/>
      <c r="G921" s="3"/>
    </row>
    <row r="922">
      <c r="B922" s="3"/>
      <c r="F922" s="3"/>
      <c r="G922" s="3"/>
    </row>
    <row r="923">
      <c r="B923" s="3"/>
      <c r="F923" s="3"/>
      <c r="G923" s="3"/>
    </row>
    <row r="924">
      <c r="B924" s="3"/>
      <c r="F924" s="3"/>
      <c r="G924" s="3"/>
    </row>
    <row r="925">
      <c r="B925" s="3"/>
      <c r="F925" s="3"/>
      <c r="G925" s="3"/>
    </row>
    <row r="926">
      <c r="B926" s="3"/>
      <c r="F926" s="3"/>
      <c r="G926" s="3"/>
    </row>
    <row r="927">
      <c r="B927" s="3"/>
      <c r="F927" s="3"/>
      <c r="G927" s="3"/>
    </row>
    <row r="928">
      <c r="B928" s="3"/>
      <c r="F928" s="3"/>
      <c r="G928" s="3"/>
    </row>
    <row r="929">
      <c r="B929" s="3"/>
      <c r="F929" s="3"/>
      <c r="G929" s="3"/>
    </row>
    <row r="930">
      <c r="B930" s="3"/>
      <c r="F930" s="3"/>
      <c r="G930" s="3"/>
    </row>
    <row r="931">
      <c r="B931" s="3"/>
      <c r="F931" s="3"/>
      <c r="G931" s="3"/>
    </row>
    <row r="932">
      <c r="B932" s="3"/>
      <c r="F932" s="3"/>
      <c r="G932" s="3"/>
    </row>
    <row r="933">
      <c r="B933" s="3"/>
      <c r="F933" s="3"/>
      <c r="G933" s="3"/>
    </row>
    <row r="934">
      <c r="B934" s="3"/>
      <c r="F934" s="3"/>
      <c r="G934" s="3"/>
    </row>
    <row r="935">
      <c r="B935" s="3"/>
      <c r="F935" s="3"/>
      <c r="G935" s="3"/>
    </row>
    <row r="936">
      <c r="B936" s="3"/>
      <c r="F936" s="3"/>
      <c r="G936" s="3"/>
    </row>
    <row r="937">
      <c r="B937" s="3"/>
      <c r="F937" s="3"/>
      <c r="G937" s="3"/>
    </row>
    <row r="938">
      <c r="B938" s="3"/>
      <c r="F938" s="3"/>
      <c r="G938" s="3"/>
    </row>
    <row r="939">
      <c r="B939" s="3"/>
      <c r="F939" s="3"/>
      <c r="G939" s="3"/>
    </row>
    <row r="940">
      <c r="B940" s="3"/>
      <c r="F940" s="3"/>
      <c r="G940" s="3"/>
    </row>
    <row r="941">
      <c r="B941" s="3"/>
      <c r="F941" s="3"/>
      <c r="G941" s="3"/>
    </row>
    <row r="942">
      <c r="B942" s="3"/>
      <c r="F942" s="3"/>
      <c r="G942" s="3"/>
    </row>
    <row r="943">
      <c r="B943" s="3"/>
      <c r="F943" s="3"/>
      <c r="G943" s="3"/>
    </row>
    <row r="944">
      <c r="B944" s="3"/>
      <c r="F944" s="3"/>
      <c r="G944" s="3"/>
    </row>
    <row r="945">
      <c r="B945" s="3"/>
      <c r="F945" s="3"/>
      <c r="G945" s="3"/>
    </row>
    <row r="946">
      <c r="B946" s="3"/>
      <c r="F946" s="3"/>
      <c r="G946" s="3"/>
    </row>
    <row r="947">
      <c r="B947" s="3"/>
      <c r="F947" s="3"/>
      <c r="G947" s="3"/>
    </row>
    <row r="948">
      <c r="B948" s="3"/>
      <c r="F948" s="3"/>
      <c r="G948" s="3"/>
    </row>
    <row r="949">
      <c r="B949" s="3"/>
      <c r="F949" s="3"/>
      <c r="G949" s="3"/>
    </row>
    <row r="950">
      <c r="B950" s="3"/>
      <c r="F950" s="3"/>
      <c r="G950" s="3"/>
    </row>
    <row r="951">
      <c r="B951" s="3"/>
      <c r="F951" s="3"/>
      <c r="G951" s="3"/>
    </row>
    <row r="952">
      <c r="B952" s="3"/>
      <c r="F952" s="3"/>
      <c r="G952" s="3"/>
    </row>
    <row r="953">
      <c r="B953" s="3"/>
      <c r="F953" s="3"/>
      <c r="G953" s="3"/>
    </row>
    <row r="954">
      <c r="B954" s="3"/>
      <c r="F954" s="3"/>
      <c r="G954" s="3"/>
    </row>
    <row r="955">
      <c r="B955" s="3"/>
      <c r="F955" s="3"/>
      <c r="G955" s="3"/>
    </row>
    <row r="956">
      <c r="B956" s="3"/>
      <c r="F956" s="3"/>
      <c r="G956" s="3"/>
    </row>
    <row r="957">
      <c r="B957" s="3"/>
      <c r="F957" s="3"/>
      <c r="G957" s="3"/>
    </row>
    <row r="958">
      <c r="B958" s="3"/>
      <c r="F958" s="3"/>
      <c r="G958" s="3"/>
    </row>
    <row r="959">
      <c r="B959" s="3"/>
      <c r="F959" s="3"/>
      <c r="G959" s="3"/>
    </row>
    <row r="960">
      <c r="B960" s="3"/>
      <c r="F960" s="3"/>
      <c r="G960" s="3"/>
    </row>
    <row r="961">
      <c r="B961" s="3"/>
      <c r="F961" s="3"/>
      <c r="G961" s="3"/>
    </row>
    <row r="962">
      <c r="B962" s="3"/>
      <c r="F962" s="3"/>
      <c r="G962" s="3"/>
    </row>
    <row r="963">
      <c r="B963" s="3"/>
      <c r="F963" s="3"/>
      <c r="G963" s="3"/>
    </row>
    <row r="964">
      <c r="B964" s="3"/>
      <c r="F964" s="3"/>
      <c r="G964" s="3"/>
    </row>
    <row r="965">
      <c r="B965" s="3"/>
      <c r="F965" s="3"/>
      <c r="G965" s="3"/>
    </row>
    <row r="966">
      <c r="B966" s="3"/>
      <c r="F966" s="3"/>
      <c r="G966" s="3"/>
    </row>
    <row r="967">
      <c r="B967" s="3"/>
      <c r="F967" s="3"/>
      <c r="G967" s="3"/>
    </row>
    <row r="968">
      <c r="B968" s="3"/>
      <c r="F968" s="3"/>
      <c r="G968" s="3"/>
    </row>
    <row r="969">
      <c r="B969" s="3"/>
      <c r="F969" s="3"/>
      <c r="G969" s="3"/>
    </row>
    <row r="970">
      <c r="B970" s="3"/>
      <c r="F970" s="3"/>
      <c r="G970" s="3"/>
    </row>
    <row r="971">
      <c r="B971" s="3"/>
      <c r="F971" s="3"/>
      <c r="G971" s="3"/>
    </row>
    <row r="972">
      <c r="B972" s="3"/>
      <c r="F972" s="3"/>
      <c r="G972" s="3"/>
    </row>
    <row r="973">
      <c r="B973" s="3"/>
      <c r="F973" s="3"/>
      <c r="G973" s="3"/>
    </row>
    <row r="974">
      <c r="B974" s="3"/>
      <c r="F974" s="3"/>
      <c r="G974" s="3"/>
    </row>
    <row r="975">
      <c r="B975" s="3"/>
      <c r="F975" s="3"/>
      <c r="G975" s="3"/>
    </row>
    <row r="976">
      <c r="B976" s="3"/>
      <c r="F976" s="3"/>
      <c r="G976" s="3"/>
    </row>
    <row r="977">
      <c r="B977" s="3"/>
      <c r="F977" s="3"/>
      <c r="G977" s="3"/>
    </row>
    <row r="978">
      <c r="B978" s="3"/>
      <c r="F978" s="3"/>
      <c r="G978" s="3"/>
    </row>
    <row r="979">
      <c r="B979" s="3"/>
      <c r="F979" s="3"/>
      <c r="G979" s="3"/>
    </row>
    <row r="980">
      <c r="B980" s="3"/>
      <c r="F980" s="3"/>
      <c r="G980" s="3"/>
    </row>
    <row r="981">
      <c r="B981" s="3"/>
      <c r="F981" s="3"/>
      <c r="G981" s="3"/>
    </row>
    <row r="982">
      <c r="B982" s="3"/>
      <c r="F982" s="3"/>
      <c r="G982" s="3"/>
    </row>
    <row r="983">
      <c r="B983" s="3"/>
      <c r="F983" s="3"/>
      <c r="G983" s="3"/>
    </row>
    <row r="984">
      <c r="B984" s="3"/>
      <c r="F984" s="3"/>
      <c r="G984" s="3"/>
    </row>
    <row r="985">
      <c r="B985" s="3"/>
      <c r="F985" s="3"/>
      <c r="G985" s="3"/>
    </row>
    <row r="986">
      <c r="B986" s="3"/>
      <c r="F986" s="3"/>
      <c r="G986" s="3"/>
    </row>
    <row r="987">
      <c r="B987" s="3"/>
      <c r="F987" s="3"/>
      <c r="G987" s="3"/>
    </row>
    <row r="988">
      <c r="B988" s="3"/>
      <c r="F988" s="3"/>
      <c r="G988" s="3"/>
    </row>
    <row r="989">
      <c r="B989" s="3"/>
      <c r="F989" s="3"/>
      <c r="G989" s="3"/>
    </row>
    <row r="990">
      <c r="B990" s="3"/>
      <c r="F990" s="3"/>
      <c r="G990" s="3"/>
    </row>
    <row r="991">
      <c r="B991" s="3"/>
      <c r="F991" s="3"/>
      <c r="G991" s="3"/>
    </row>
    <row r="992">
      <c r="B992" s="3"/>
      <c r="F992" s="3"/>
      <c r="G992" s="3"/>
    </row>
    <row r="993">
      <c r="B993" s="3"/>
      <c r="F993" s="3"/>
      <c r="G993" s="3"/>
    </row>
    <row r="994">
      <c r="B994" s="3"/>
      <c r="F994" s="3"/>
      <c r="G994" s="3"/>
    </row>
    <row r="995">
      <c r="B995" s="3"/>
      <c r="F995" s="3"/>
      <c r="G995" s="3"/>
    </row>
    <row r="996">
      <c r="B996" s="3"/>
      <c r="F996" s="3"/>
      <c r="G996" s="3"/>
    </row>
    <row r="997">
      <c r="B997" s="3"/>
      <c r="F997" s="3"/>
      <c r="G997" s="3"/>
    </row>
    <row r="998">
      <c r="B998" s="3"/>
      <c r="F998" s="3"/>
      <c r="G998" s="3"/>
    </row>
    <row r="999">
      <c r="B999" s="3"/>
      <c r="F999" s="3"/>
      <c r="G999" s="3"/>
    </row>
    <row r="1000">
      <c r="B1000" s="3"/>
      <c r="F1000" s="3"/>
      <c r="G1000" s="3"/>
    </row>
    <row r="1001">
      <c r="B1001" s="3"/>
      <c r="F1001" s="3"/>
      <c r="G1001" s="3"/>
    </row>
    <row r="1002">
      <c r="B1002" s="3"/>
      <c r="F1002" s="3"/>
      <c r="G1002" s="3"/>
    </row>
  </sheetData>
  <mergeCells count="2">
    <mergeCell ref="A4:B4"/>
    <mergeCell ref="E4:G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15.88"/>
    <col customWidth="1" min="5" max="5" width="33.75"/>
  </cols>
  <sheetData>
    <row r="1">
      <c r="A1" s="1" t="s">
        <v>0</v>
      </c>
      <c r="B1" s="2"/>
      <c r="F1" s="3"/>
      <c r="G1" s="3"/>
    </row>
    <row r="2">
      <c r="A2" s="1" t="s">
        <v>1</v>
      </c>
      <c r="B2" s="4">
        <v>18.0</v>
      </c>
      <c r="F2" s="3"/>
      <c r="G2" s="3"/>
    </row>
    <row r="3">
      <c r="B3" s="3"/>
      <c r="F3" s="3"/>
      <c r="G3" s="3"/>
    </row>
    <row r="4">
      <c r="A4" s="5" t="s">
        <v>2</v>
      </c>
      <c r="B4" s="6"/>
      <c r="E4" s="5" t="s">
        <v>3</v>
      </c>
      <c r="F4" s="7"/>
      <c r="G4" s="6"/>
    </row>
    <row r="5">
      <c r="A5" s="8" t="s">
        <v>4</v>
      </c>
      <c r="B5" s="9" t="s">
        <v>5</v>
      </c>
      <c r="E5" s="8" t="s">
        <v>4</v>
      </c>
      <c r="F5" s="9" t="s">
        <v>6</v>
      </c>
      <c r="G5" s="9" t="s">
        <v>7</v>
      </c>
    </row>
    <row r="6">
      <c r="A6" s="11" t="s">
        <v>8</v>
      </c>
      <c r="B6" s="12">
        <v>1000.0</v>
      </c>
      <c r="E6" s="8"/>
      <c r="F6" s="9"/>
      <c r="G6" s="13"/>
    </row>
    <row r="7">
      <c r="A7" s="14" t="s">
        <v>9</v>
      </c>
      <c r="B7" s="4">
        <v>1000.0</v>
      </c>
      <c r="E7" s="8"/>
      <c r="F7" s="9"/>
      <c r="G7" s="13"/>
    </row>
    <row r="8">
      <c r="A8" s="8" t="s">
        <v>10</v>
      </c>
      <c r="B8" s="4">
        <v>500.0</v>
      </c>
      <c r="E8" s="8"/>
      <c r="F8" s="9"/>
      <c r="G8" s="13"/>
    </row>
    <row r="9">
      <c r="A9" s="8" t="s">
        <v>11</v>
      </c>
      <c r="B9" s="4">
        <v>1000.0</v>
      </c>
      <c r="E9" s="8"/>
      <c r="F9" s="9"/>
      <c r="G9" s="13"/>
    </row>
    <row r="10">
      <c r="A10" s="8" t="s">
        <v>12</v>
      </c>
      <c r="B10" s="4">
        <v>1500.0</v>
      </c>
      <c r="E10" s="8"/>
      <c r="F10" s="9"/>
      <c r="G10" s="13"/>
    </row>
    <row r="11">
      <c r="A11" s="11" t="s">
        <v>13</v>
      </c>
      <c r="B11" s="12">
        <v>300.0</v>
      </c>
      <c r="E11" s="8"/>
      <c r="F11" s="9"/>
      <c r="G11" s="13"/>
    </row>
    <row r="12">
      <c r="A12" s="11" t="s">
        <v>14</v>
      </c>
      <c r="B12" s="12">
        <v>800.0</v>
      </c>
      <c r="E12" s="16"/>
      <c r="F12" s="13"/>
      <c r="G12" s="13"/>
    </row>
    <row r="13">
      <c r="A13" s="17" t="s">
        <v>15</v>
      </c>
      <c r="B13" s="18">
        <v>2500.0</v>
      </c>
      <c r="E13" s="16"/>
      <c r="F13" s="13"/>
      <c r="G13" s="13"/>
    </row>
    <row r="14">
      <c r="A14" s="17" t="s">
        <v>16</v>
      </c>
      <c r="B14" s="18">
        <v>5000.0</v>
      </c>
      <c r="E14" s="16"/>
      <c r="F14" s="13"/>
      <c r="G14" s="13"/>
    </row>
    <row r="15">
      <c r="E15" s="16"/>
      <c r="F15" s="13"/>
      <c r="G15" s="13"/>
    </row>
    <row r="16">
      <c r="A16" s="11"/>
      <c r="B16" s="12"/>
      <c r="E16" s="16"/>
      <c r="F16" s="13"/>
      <c r="G16" s="13"/>
    </row>
    <row r="17">
      <c r="E17" s="16"/>
      <c r="F17" s="13"/>
      <c r="G17" s="13"/>
    </row>
    <row r="18">
      <c r="E18" s="16"/>
      <c r="F18" s="13"/>
      <c r="G18" s="13"/>
    </row>
    <row r="19">
      <c r="E19" s="16"/>
      <c r="F19" s="13"/>
      <c r="G19" s="13"/>
    </row>
    <row r="22">
      <c r="D22" s="20">
        <f>30*25</f>
        <v>750</v>
      </c>
      <c r="E22" s="20">
        <f>30*70</f>
        <v>2100</v>
      </c>
      <c r="F22" s="20">
        <f>30*218</f>
        <v>6540</v>
      </c>
    </row>
    <row r="24">
      <c r="A24" s="5" t="s">
        <v>42</v>
      </c>
      <c r="B24" s="6"/>
    </row>
    <row r="25">
      <c r="A25" s="8" t="s">
        <v>44</v>
      </c>
      <c r="B25" s="8" t="s">
        <v>47</v>
      </c>
    </row>
    <row r="26">
      <c r="A26" s="8" t="s">
        <v>49</v>
      </c>
      <c r="B26" s="8">
        <v>0.0</v>
      </c>
    </row>
    <row r="27">
      <c r="A27" s="8" t="s">
        <v>51</v>
      </c>
      <c r="B27" s="8">
        <v>0.0</v>
      </c>
    </row>
    <row r="28">
      <c r="A28" s="8" t="s">
        <v>53</v>
      </c>
      <c r="B28" s="8">
        <v>30.0</v>
      </c>
    </row>
    <row r="29">
      <c r="A29" s="26" t="s">
        <v>55</v>
      </c>
      <c r="B29" s="26">
        <v>0.0</v>
      </c>
    </row>
  </sheetData>
  <mergeCells count="3">
    <mergeCell ref="A4:B4"/>
    <mergeCell ref="E4:G4"/>
    <mergeCell ref="A24:B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4.0"/>
  </cols>
  <sheetData>
    <row r="1">
      <c r="A1" s="16"/>
      <c r="B1" s="21" t="s">
        <v>24</v>
      </c>
      <c r="C1" s="7"/>
      <c r="D1" s="7"/>
      <c r="E1" s="7"/>
      <c r="F1" s="6"/>
      <c r="H1" s="16"/>
      <c r="I1" s="21" t="s">
        <v>33</v>
      </c>
      <c r="J1" s="7"/>
      <c r="K1" s="7"/>
      <c r="L1" s="7"/>
      <c r="M1" s="6"/>
      <c r="P1" s="5" t="s">
        <v>39</v>
      </c>
      <c r="Q1" s="7"/>
      <c r="R1" s="7"/>
      <c r="S1" s="7"/>
      <c r="T1" s="7"/>
      <c r="U1" s="7"/>
      <c r="V1" s="7"/>
      <c r="W1" s="7"/>
      <c r="X1" s="6"/>
    </row>
    <row r="2">
      <c r="A2" s="16"/>
      <c r="B2" s="5" t="s">
        <v>43</v>
      </c>
      <c r="C2" s="6"/>
      <c r="D2" s="9" t="s">
        <v>46</v>
      </c>
      <c r="E2" s="24" t="s">
        <v>48</v>
      </c>
      <c r="F2" s="6"/>
      <c r="H2" s="16"/>
      <c r="I2" s="5" t="s">
        <v>43</v>
      </c>
      <c r="J2" s="6"/>
      <c r="K2" s="9" t="s">
        <v>46</v>
      </c>
      <c r="L2" s="24" t="s">
        <v>48</v>
      </c>
      <c r="M2" s="6"/>
      <c r="P2" s="27" t="s">
        <v>56</v>
      </c>
      <c r="Q2" s="28" t="s">
        <v>57</v>
      </c>
      <c r="R2" s="9" t="s">
        <v>46</v>
      </c>
      <c r="S2" s="9" t="s">
        <v>46</v>
      </c>
      <c r="T2" s="9" t="s">
        <v>46</v>
      </c>
      <c r="U2" s="9" t="s">
        <v>46</v>
      </c>
      <c r="V2" s="9" t="s">
        <v>46</v>
      </c>
      <c r="W2" s="9" t="s">
        <v>46</v>
      </c>
      <c r="X2" s="9" t="s">
        <v>46</v>
      </c>
    </row>
    <row r="3">
      <c r="A3" s="16"/>
      <c r="B3" s="27" t="s">
        <v>56</v>
      </c>
      <c r="C3" s="28" t="s">
        <v>57</v>
      </c>
      <c r="D3" s="16"/>
      <c r="E3" s="31" t="s">
        <v>58</v>
      </c>
      <c r="F3" s="32" t="s">
        <v>59</v>
      </c>
      <c r="H3" s="16"/>
      <c r="I3" s="27" t="s">
        <v>56</v>
      </c>
      <c r="J3" s="28" t="s">
        <v>57</v>
      </c>
      <c r="K3" s="16"/>
      <c r="L3" s="31" t="s">
        <v>58</v>
      </c>
      <c r="M3" s="32" t="s">
        <v>59</v>
      </c>
      <c r="P3" s="33">
        <v>28.0</v>
      </c>
      <c r="Q3" s="4">
        <v>3.0</v>
      </c>
      <c r="R3" s="9" t="s">
        <v>60</v>
      </c>
      <c r="S3" s="34" t="s">
        <v>61</v>
      </c>
      <c r="T3" s="7"/>
      <c r="U3" s="7"/>
      <c r="V3" s="7"/>
      <c r="W3" s="7"/>
      <c r="X3" s="6"/>
    </row>
    <row r="4">
      <c r="A4" s="8">
        <v>1.0</v>
      </c>
      <c r="B4" s="8"/>
      <c r="C4" s="8"/>
      <c r="D4" s="16"/>
      <c r="E4" s="8"/>
      <c r="F4" s="8"/>
      <c r="H4" s="8">
        <v>1.0</v>
      </c>
      <c r="I4" s="8">
        <v>1.0</v>
      </c>
      <c r="J4" s="16"/>
      <c r="K4" s="16"/>
      <c r="L4" s="16"/>
      <c r="M4" s="16"/>
      <c r="P4" s="9" t="s">
        <v>46</v>
      </c>
      <c r="Q4" s="9" t="s">
        <v>46</v>
      </c>
      <c r="R4" s="9" t="s">
        <v>46</v>
      </c>
      <c r="S4" s="9" t="s">
        <v>46</v>
      </c>
      <c r="T4" s="9" t="s">
        <v>46</v>
      </c>
      <c r="U4" s="9" t="s">
        <v>46</v>
      </c>
      <c r="V4" s="9" t="s">
        <v>46</v>
      </c>
      <c r="W4" s="9" t="s">
        <v>46</v>
      </c>
      <c r="X4" s="9" t="s">
        <v>46</v>
      </c>
    </row>
    <row r="5">
      <c r="A5" s="8">
        <v>2.0</v>
      </c>
      <c r="B5" s="8"/>
      <c r="C5" s="8"/>
      <c r="D5" s="16"/>
      <c r="E5" s="16"/>
      <c r="F5" s="16"/>
      <c r="H5" s="8">
        <v>2.0</v>
      </c>
      <c r="I5" s="8">
        <v>1.0</v>
      </c>
      <c r="J5" s="16"/>
      <c r="K5" s="16"/>
      <c r="L5" s="16"/>
      <c r="M5" s="16"/>
      <c r="P5" s="33">
        <v>21.0</v>
      </c>
      <c r="Q5" s="4">
        <v>7.0</v>
      </c>
      <c r="R5" s="9" t="s">
        <v>60</v>
      </c>
      <c r="S5" s="34" t="s">
        <v>62</v>
      </c>
      <c r="T5" s="7"/>
      <c r="U5" s="7"/>
      <c r="V5" s="7"/>
      <c r="W5" s="7"/>
      <c r="X5" s="6"/>
    </row>
    <row r="6">
      <c r="A6" s="8">
        <v>3.0</v>
      </c>
      <c r="B6" s="16"/>
      <c r="C6" s="16"/>
      <c r="D6" s="8"/>
      <c r="E6" s="16"/>
      <c r="F6" s="16"/>
      <c r="H6" s="8">
        <v>3.0</v>
      </c>
      <c r="I6" s="8">
        <v>1.0</v>
      </c>
      <c r="J6" s="16"/>
      <c r="K6" s="16"/>
      <c r="L6" s="16"/>
      <c r="M6" s="16"/>
      <c r="P6" s="9" t="s">
        <v>46</v>
      </c>
      <c r="Q6" s="9" t="s">
        <v>46</v>
      </c>
      <c r="R6" s="9" t="s">
        <v>46</v>
      </c>
      <c r="S6" s="9" t="s">
        <v>46</v>
      </c>
      <c r="T6" s="9" t="s">
        <v>46</v>
      </c>
      <c r="U6" s="9" t="s">
        <v>46</v>
      </c>
      <c r="V6" s="9" t="s">
        <v>46</v>
      </c>
      <c r="W6" s="9" t="s">
        <v>46</v>
      </c>
      <c r="X6" s="9" t="s">
        <v>46</v>
      </c>
    </row>
    <row r="7">
      <c r="A7" s="8">
        <v>4.0</v>
      </c>
      <c r="B7" s="16"/>
      <c r="C7" s="16"/>
      <c r="D7" s="16"/>
      <c r="E7" s="16"/>
      <c r="F7" s="16"/>
      <c r="H7" s="8">
        <v>4.0</v>
      </c>
      <c r="I7" s="8">
        <v>1.0</v>
      </c>
      <c r="J7" s="16"/>
      <c r="K7" s="16"/>
      <c r="L7" s="16"/>
      <c r="M7" s="16"/>
      <c r="O7" s="35"/>
      <c r="P7" s="33">
        <v>14.0</v>
      </c>
      <c r="Q7" s="4">
        <v>14.0</v>
      </c>
      <c r="R7" s="9" t="s">
        <v>60</v>
      </c>
      <c r="S7" s="24" t="s">
        <v>67</v>
      </c>
      <c r="T7" s="7"/>
      <c r="U7" s="7"/>
      <c r="V7" s="7"/>
      <c r="W7" s="7"/>
      <c r="X7" s="6"/>
    </row>
    <row r="8">
      <c r="A8" s="8">
        <v>5.0</v>
      </c>
      <c r="B8" s="16"/>
      <c r="C8" s="8"/>
      <c r="D8" s="16"/>
      <c r="E8" s="16"/>
      <c r="F8" s="16"/>
      <c r="H8" s="8">
        <v>5.0</v>
      </c>
      <c r="I8" s="8"/>
      <c r="J8" s="8">
        <v>1.0</v>
      </c>
      <c r="K8" s="16"/>
      <c r="L8" s="16"/>
      <c r="M8" s="16"/>
      <c r="O8" s="35"/>
      <c r="P8" s="9" t="s">
        <v>46</v>
      </c>
      <c r="Q8" s="9" t="s">
        <v>46</v>
      </c>
      <c r="R8" s="9" t="s">
        <v>46</v>
      </c>
      <c r="S8" s="9" t="s">
        <v>46</v>
      </c>
      <c r="T8" s="9" t="s">
        <v>46</v>
      </c>
      <c r="U8" s="9" t="s">
        <v>46</v>
      </c>
      <c r="V8" s="9" t="s">
        <v>46</v>
      </c>
      <c r="W8" s="9" t="s">
        <v>46</v>
      </c>
      <c r="X8" s="9" t="s">
        <v>46</v>
      </c>
    </row>
    <row r="9">
      <c r="A9" s="8">
        <v>6.0</v>
      </c>
      <c r="B9" s="16"/>
      <c r="C9" s="16"/>
      <c r="D9" s="8"/>
      <c r="E9" s="16"/>
      <c r="F9" s="16"/>
      <c r="H9" s="8">
        <v>6.0</v>
      </c>
      <c r="I9" s="8"/>
      <c r="J9" s="8">
        <v>1.0</v>
      </c>
      <c r="K9" s="16"/>
      <c r="L9" s="16"/>
      <c r="M9" s="16"/>
      <c r="O9" s="36" t="s">
        <v>68</v>
      </c>
      <c r="P9" s="33">
        <v>7.0</v>
      </c>
      <c r="Q9" s="4">
        <v>21.0</v>
      </c>
      <c r="R9" s="9" t="s">
        <v>60</v>
      </c>
      <c r="S9" s="24" t="s">
        <v>69</v>
      </c>
      <c r="T9" s="7"/>
      <c r="U9" s="7"/>
      <c r="V9" s="7"/>
      <c r="W9" s="7"/>
      <c r="X9" s="6"/>
    </row>
    <row r="10">
      <c r="A10" s="8">
        <v>7.0</v>
      </c>
      <c r="B10" s="8"/>
      <c r="C10" s="16"/>
      <c r="D10" s="16"/>
      <c r="E10" s="16"/>
      <c r="F10" s="16"/>
      <c r="H10" s="8">
        <v>7.0</v>
      </c>
      <c r="I10" s="8">
        <v>1.0</v>
      </c>
      <c r="J10" s="16"/>
      <c r="K10" s="16"/>
      <c r="L10" s="16"/>
      <c r="M10" s="16"/>
      <c r="O10" s="35"/>
      <c r="P10" s="9" t="s">
        <v>46</v>
      </c>
      <c r="Q10" s="9" t="s">
        <v>46</v>
      </c>
      <c r="R10" s="9" t="s">
        <v>46</v>
      </c>
      <c r="S10" s="9" t="s">
        <v>46</v>
      </c>
      <c r="T10" s="9" t="s">
        <v>46</v>
      </c>
      <c r="U10" s="9" t="s">
        <v>46</v>
      </c>
      <c r="V10" s="9" t="s">
        <v>46</v>
      </c>
      <c r="W10" s="9" t="s">
        <v>46</v>
      </c>
      <c r="X10" s="9" t="s">
        <v>46</v>
      </c>
    </row>
    <row r="11">
      <c r="A11" s="8">
        <v>8.0</v>
      </c>
      <c r="B11" s="16"/>
      <c r="C11" s="16"/>
      <c r="D11" s="16"/>
      <c r="E11" s="16"/>
      <c r="F11" s="16"/>
      <c r="H11" s="8">
        <v>8.0</v>
      </c>
      <c r="I11" s="16"/>
      <c r="J11" s="8">
        <v>1.0</v>
      </c>
      <c r="K11" s="16"/>
      <c r="L11" s="16"/>
      <c r="M11" s="16"/>
      <c r="O11" s="35"/>
      <c r="P11" s="33">
        <v>3.0</v>
      </c>
      <c r="Q11" s="4">
        <v>28.0</v>
      </c>
      <c r="R11" s="9" t="s">
        <v>60</v>
      </c>
      <c r="S11" s="37" t="s">
        <v>70</v>
      </c>
      <c r="T11" s="7"/>
      <c r="U11" s="7"/>
      <c r="V11" s="7"/>
      <c r="W11" s="7"/>
      <c r="X11" s="6"/>
    </row>
    <row r="12">
      <c r="A12" s="8">
        <v>9.0</v>
      </c>
      <c r="B12" s="16"/>
      <c r="C12" s="16"/>
      <c r="D12" s="16"/>
      <c r="E12" s="16"/>
      <c r="F12" s="8"/>
      <c r="H12" s="8">
        <v>9.0</v>
      </c>
      <c r="I12" s="16"/>
      <c r="J12" s="8">
        <v>1.0</v>
      </c>
      <c r="K12" s="16"/>
      <c r="L12" s="16"/>
      <c r="M12" s="16"/>
    </row>
    <row r="13">
      <c r="A13" s="8">
        <v>10.0</v>
      </c>
      <c r="B13" s="16"/>
      <c r="C13" s="16"/>
      <c r="D13" s="16"/>
      <c r="E13" s="16"/>
      <c r="F13" s="16"/>
      <c r="H13" s="8">
        <v>10.0</v>
      </c>
      <c r="I13" s="16"/>
      <c r="J13" s="8">
        <v>1.0</v>
      </c>
      <c r="K13" s="16"/>
      <c r="L13" s="16"/>
      <c r="M13" s="16"/>
      <c r="P13" s="5" t="s">
        <v>72</v>
      </c>
      <c r="Q13" s="7"/>
      <c r="R13" s="7"/>
      <c r="S13" s="7"/>
      <c r="T13" s="7"/>
      <c r="U13" s="7"/>
      <c r="V13" s="7"/>
      <c r="W13" s="7"/>
      <c r="X13" s="6"/>
    </row>
    <row r="14">
      <c r="A14" s="8">
        <v>11.0</v>
      </c>
      <c r="B14" s="16"/>
      <c r="C14" s="16"/>
      <c r="D14" s="16"/>
      <c r="E14" s="16"/>
      <c r="F14" s="16"/>
      <c r="H14" s="8">
        <v>11.0</v>
      </c>
      <c r="I14" s="8"/>
      <c r="J14" s="8">
        <v>1.0</v>
      </c>
      <c r="K14" s="16"/>
      <c r="L14" s="16"/>
      <c r="M14" s="16"/>
      <c r="P14" s="38" t="s">
        <v>73</v>
      </c>
      <c r="Q14" s="9" t="s">
        <v>46</v>
      </c>
      <c r="R14" s="9" t="s">
        <v>46</v>
      </c>
      <c r="S14" s="9" t="s">
        <v>46</v>
      </c>
      <c r="T14" s="9" t="s">
        <v>46</v>
      </c>
      <c r="U14" s="9" t="s">
        <v>46</v>
      </c>
      <c r="V14" s="9" t="s">
        <v>46</v>
      </c>
      <c r="W14" s="9" t="s">
        <v>46</v>
      </c>
      <c r="X14" s="9" t="s">
        <v>46</v>
      </c>
    </row>
    <row r="15">
      <c r="A15" s="8">
        <v>12.0</v>
      </c>
      <c r="B15" s="16"/>
      <c r="C15" s="16"/>
      <c r="D15" s="8"/>
      <c r="E15" s="16"/>
      <c r="F15" s="8">
        <v>1.0</v>
      </c>
      <c r="H15" s="8">
        <v>12.0</v>
      </c>
      <c r="I15" s="8">
        <v>1.0</v>
      </c>
      <c r="J15" s="16"/>
      <c r="K15" s="16"/>
      <c r="L15" s="16"/>
      <c r="M15" s="16"/>
      <c r="O15" s="39">
        <v>14.0</v>
      </c>
      <c r="P15" s="12">
        <v>1.0</v>
      </c>
      <c r="Q15" s="9" t="s">
        <v>60</v>
      </c>
      <c r="R15" s="24" t="s">
        <v>74</v>
      </c>
      <c r="S15" s="7"/>
      <c r="T15" s="7"/>
      <c r="U15" s="7"/>
      <c r="V15" s="7"/>
      <c r="W15" s="7"/>
      <c r="X15" s="6"/>
    </row>
    <row r="16">
      <c r="A16" s="8">
        <v>13.0</v>
      </c>
      <c r="B16" s="16"/>
      <c r="C16" s="16"/>
      <c r="D16" s="16"/>
      <c r="E16" s="16"/>
      <c r="F16" s="8"/>
      <c r="H16" s="8">
        <v>13.0</v>
      </c>
      <c r="I16" s="16"/>
      <c r="J16" s="8">
        <v>1.0</v>
      </c>
      <c r="K16" s="16"/>
      <c r="L16" s="16"/>
      <c r="M16" s="16"/>
      <c r="P16" s="9" t="s">
        <v>46</v>
      </c>
      <c r="Q16" s="9" t="s">
        <v>46</v>
      </c>
      <c r="R16" s="9" t="s">
        <v>46</v>
      </c>
      <c r="S16" s="9" t="s">
        <v>46</v>
      </c>
      <c r="T16" s="9" t="s">
        <v>46</v>
      </c>
      <c r="U16" s="9" t="s">
        <v>46</v>
      </c>
      <c r="V16" s="9" t="s">
        <v>46</v>
      </c>
      <c r="W16" s="9" t="s">
        <v>46</v>
      </c>
      <c r="X16" s="9" t="s">
        <v>46</v>
      </c>
    </row>
    <row r="17">
      <c r="A17" s="8">
        <v>14.0</v>
      </c>
      <c r="B17" s="8">
        <v>1.0</v>
      </c>
      <c r="C17" s="16"/>
      <c r="D17" s="16"/>
      <c r="E17" s="16"/>
      <c r="F17" s="16"/>
      <c r="H17" s="8">
        <v>14.0</v>
      </c>
      <c r="I17" s="8">
        <v>1.0</v>
      </c>
      <c r="J17" s="16"/>
      <c r="K17" s="16"/>
      <c r="L17" s="16"/>
      <c r="M17" s="16"/>
      <c r="P17" s="12">
        <v>78.0</v>
      </c>
      <c r="Q17" s="9" t="s">
        <v>60</v>
      </c>
      <c r="R17" s="24" t="s">
        <v>76</v>
      </c>
      <c r="S17" s="7"/>
      <c r="T17" s="7"/>
      <c r="U17" s="7"/>
      <c r="V17" s="7"/>
      <c r="W17" s="7"/>
      <c r="X17" s="6"/>
    </row>
    <row r="18">
      <c r="A18" s="8">
        <v>15.0</v>
      </c>
      <c r="B18" s="8">
        <v>1.0</v>
      </c>
      <c r="C18" s="16"/>
      <c r="D18" s="8"/>
      <c r="E18" s="16"/>
      <c r="F18" s="8">
        <v>1.0</v>
      </c>
      <c r="H18" s="8">
        <v>15.0</v>
      </c>
      <c r="I18" s="8">
        <v>1.0</v>
      </c>
      <c r="J18" s="16"/>
      <c r="K18" s="16"/>
      <c r="L18" s="16"/>
      <c r="M18" s="16"/>
      <c r="P18" s="9" t="s">
        <v>46</v>
      </c>
      <c r="Q18" s="9" t="s">
        <v>46</v>
      </c>
      <c r="R18" s="9" t="s">
        <v>46</v>
      </c>
      <c r="S18" s="9" t="s">
        <v>46</v>
      </c>
      <c r="T18" s="9" t="s">
        <v>46</v>
      </c>
      <c r="U18" s="9" t="s">
        <v>46</v>
      </c>
      <c r="V18" s="9" t="s">
        <v>46</v>
      </c>
      <c r="W18" s="9" t="s">
        <v>46</v>
      </c>
      <c r="X18" s="9" t="s">
        <v>46</v>
      </c>
    </row>
    <row r="19">
      <c r="A19" s="8">
        <v>16.0</v>
      </c>
      <c r="B19" s="8">
        <v>1.0</v>
      </c>
      <c r="C19" s="16"/>
      <c r="D19" s="16"/>
      <c r="E19" s="16"/>
      <c r="F19" s="8"/>
      <c r="H19" s="8">
        <v>16.0</v>
      </c>
      <c r="I19" s="8">
        <v>1.0</v>
      </c>
      <c r="J19" s="8"/>
      <c r="K19" s="16"/>
      <c r="L19" s="16"/>
      <c r="M19" s="16"/>
      <c r="P19" s="12">
        <v>462.0</v>
      </c>
      <c r="Q19" s="9" t="s">
        <v>60</v>
      </c>
      <c r="R19" s="5" t="s">
        <v>77</v>
      </c>
      <c r="S19" s="7"/>
      <c r="T19" s="7"/>
      <c r="U19" s="7"/>
      <c r="V19" s="7"/>
      <c r="W19" s="7"/>
      <c r="X19" s="6"/>
    </row>
    <row r="20">
      <c r="A20" s="8">
        <v>17.0</v>
      </c>
      <c r="B20" s="8">
        <v>1.0</v>
      </c>
      <c r="C20" s="16"/>
      <c r="D20" s="8"/>
      <c r="E20" s="16"/>
      <c r="F20" s="16"/>
      <c r="H20" s="8">
        <v>17.0</v>
      </c>
      <c r="I20" s="16"/>
      <c r="J20" s="8">
        <v>1.0</v>
      </c>
      <c r="K20" s="16"/>
      <c r="L20" s="16"/>
      <c r="M20" s="16"/>
      <c r="P20" s="9" t="s">
        <v>46</v>
      </c>
      <c r="Q20" s="9" t="s">
        <v>46</v>
      </c>
      <c r="R20" s="9" t="s">
        <v>46</v>
      </c>
      <c r="S20" s="9" t="s">
        <v>46</v>
      </c>
      <c r="T20" s="9" t="s">
        <v>46</v>
      </c>
      <c r="U20" s="9" t="s">
        <v>46</v>
      </c>
      <c r="V20" s="9" t="s">
        <v>46</v>
      </c>
      <c r="W20" s="9" t="s">
        <v>46</v>
      </c>
      <c r="X20" s="9" t="s">
        <v>46</v>
      </c>
    </row>
    <row r="21">
      <c r="A21" s="8">
        <v>18.0</v>
      </c>
      <c r="B21" s="8">
        <v>1.0</v>
      </c>
      <c r="C21" s="16"/>
      <c r="D21" s="16"/>
      <c r="E21" s="16"/>
      <c r="F21" s="16"/>
      <c r="H21" s="8">
        <v>18.0</v>
      </c>
      <c r="I21" s="8">
        <v>1.0</v>
      </c>
      <c r="J21" s="16"/>
      <c r="K21" s="16"/>
      <c r="L21" s="16"/>
      <c r="M21" s="16"/>
      <c r="P21" s="12">
        <v>46.0</v>
      </c>
      <c r="Q21" s="9" t="s">
        <v>60</v>
      </c>
      <c r="R21" s="24" t="s">
        <v>78</v>
      </c>
      <c r="S21" s="7"/>
      <c r="T21" s="7"/>
      <c r="U21" s="7"/>
      <c r="V21" s="7"/>
      <c r="W21" s="7"/>
      <c r="X21" s="6"/>
    </row>
    <row r="22">
      <c r="A22" s="8">
        <v>19.0</v>
      </c>
      <c r="B22" s="8">
        <v>1.0</v>
      </c>
      <c r="C22" s="16"/>
      <c r="D22" s="16"/>
      <c r="E22" s="16"/>
      <c r="F22" s="8">
        <v>1.0</v>
      </c>
      <c r="H22" s="8">
        <v>19.0</v>
      </c>
      <c r="I22" s="8">
        <v>1.0</v>
      </c>
      <c r="J22" s="16"/>
      <c r="K22" s="16"/>
      <c r="L22" s="16"/>
      <c r="M22" s="16"/>
      <c r="P22" s="9" t="s">
        <v>46</v>
      </c>
      <c r="Q22" s="9" t="s">
        <v>46</v>
      </c>
      <c r="R22" s="9" t="s">
        <v>46</v>
      </c>
      <c r="S22" s="9" t="s">
        <v>46</v>
      </c>
      <c r="T22" s="9" t="s">
        <v>46</v>
      </c>
      <c r="U22" s="9" t="s">
        <v>46</v>
      </c>
      <c r="V22" s="9" t="s">
        <v>46</v>
      </c>
      <c r="W22" s="9" t="s">
        <v>46</v>
      </c>
      <c r="X22" s="9" t="s">
        <v>46</v>
      </c>
    </row>
    <row r="23">
      <c r="A23" s="8">
        <v>20.0</v>
      </c>
      <c r="B23" s="8">
        <v>1.0</v>
      </c>
      <c r="C23" s="16"/>
      <c r="D23" s="16"/>
      <c r="E23" s="16"/>
      <c r="F23" s="16"/>
      <c r="H23" s="8">
        <v>20.0</v>
      </c>
      <c r="I23" s="8">
        <v>1.0</v>
      </c>
      <c r="J23" s="16"/>
      <c r="K23" s="16"/>
      <c r="L23" s="16"/>
      <c r="M23" s="16"/>
      <c r="P23" s="12">
        <v>231.0</v>
      </c>
      <c r="Q23" s="9" t="s">
        <v>60</v>
      </c>
      <c r="R23" s="24" t="s">
        <v>80</v>
      </c>
      <c r="S23" s="7"/>
      <c r="T23" s="7"/>
      <c r="U23" s="7"/>
      <c r="V23" s="7"/>
      <c r="W23" s="7"/>
      <c r="X23" s="6"/>
    </row>
    <row r="24">
      <c r="A24" s="8">
        <v>21.0</v>
      </c>
      <c r="B24" s="8">
        <v>1.0</v>
      </c>
      <c r="C24" s="16"/>
      <c r="D24" s="16"/>
      <c r="E24" s="16"/>
      <c r="F24" s="8"/>
      <c r="H24" s="8">
        <v>21.0</v>
      </c>
      <c r="I24" s="8">
        <v>1.0</v>
      </c>
      <c r="J24" s="16"/>
      <c r="K24" s="16"/>
      <c r="L24" s="16"/>
      <c r="M24" s="16"/>
      <c r="P24" s="9" t="s">
        <v>46</v>
      </c>
      <c r="Q24" s="9" t="s">
        <v>46</v>
      </c>
      <c r="R24" s="9" t="s">
        <v>46</v>
      </c>
      <c r="S24" s="9" t="s">
        <v>46</v>
      </c>
      <c r="T24" s="9" t="s">
        <v>46</v>
      </c>
      <c r="U24" s="9" t="s">
        <v>46</v>
      </c>
      <c r="V24" s="9" t="s">
        <v>46</v>
      </c>
      <c r="W24" s="9" t="s">
        <v>46</v>
      </c>
      <c r="X24" s="9" t="s">
        <v>46</v>
      </c>
    </row>
    <row r="25">
      <c r="A25" s="8">
        <v>22.0</v>
      </c>
      <c r="B25" s="16"/>
      <c r="C25" s="8">
        <v>1.0</v>
      </c>
      <c r="D25" s="16"/>
      <c r="E25" s="16"/>
      <c r="F25" s="16"/>
      <c r="H25" s="8">
        <v>22.0</v>
      </c>
      <c r="I25" s="8">
        <v>1.0</v>
      </c>
      <c r="J25" s="16"/>
      <c r="K25" s="16"/>
      <c r="L25" s="16"/>
      <c r="M25" s="16"/>
      <c r="P25" s="12">
        <v>107.0</v>
      </c>
      <c r="Q25" s="9" t="s">
        <v>60</v>
      </c>
      <c r="R25" s="24" t="s">
        <v>81</v>
      </c>
      <c r="S25" s="7"/>
      <c r="T25" s="7"/>
      <c r="U25" s="7"/>
      <c r="V25" s="7"/>
      <c r="W25" s="7"/>
      <c r="X25" s="6"/>
    </row>
    <row r="26">
      <c r="A26" s="8">
        <v>23.0</v>
      </c>
      <c r="B26" s="8">
        <v>1.0</v>
      </c>
      <c r="C26" s="16"/>
      <c r="D26" s="16"/>
      <c r="E26" s="16"/>
      <c r="F26" s="16"/>
      <c r="H26" s="8">
        <v>23.0</v>
      </c>
      <c r="I26" s="16"/>
      <c r="J26" s="8">
        <v>1.0</v>
      </c>
      <c r="K26" s="16"/>
      <c r="L26" s="16"/>
      <c r="M26" s="16"/>
      <c r="P26" s="9" t="s">
        <v>46</v>
      </c>
      <c r="Q26" s="9" t="s">
        <v>46</v>
      </c>
      <c r="R26" s="9" t="s">
        <v>46</v>
      </c>
      <c r="S26" s="9" t="s">
        <v>46</v>
      </c>
      <c r="T26" s="9" t="s">
        <v>46</v>
      </c>
      <c r="U26" s="9" t="s">
        <v>46</v>
      </c>
      <c r="V26" s="9" t="s">
        <v>46</v>
      </c>
      <c r="W26" s="9" t="s">
        <v>46</v>
      </c>
      <c r="X26" s="9" t="s">
        <v>46</v>
      </c>
    </row>
    <row r="27">
      <c r="A27" s="8">
        <v>24.0</v>
      </c>
      <c r="B27" s="8">
        <v>1.0</v>
      </c>
      <c r="C27" s="16"/>
      <c r="D27" s="8"/>
      <c r="E27" s="16"/>
      <c r="F27" s="16"/>
      <c r="H27" s="8">
        <v>24.0</v>
      </c>
      <c r="I27" s="16"/>
      <c r="J27" s="8">
        <v>1.0</v>
      </c>
      <c r="K27" s="16"/>
      <c r="L27" s="16"/>
      <c r="M27" s="16"/>
      <c r="P27" s="12">
        <v>107.0</v>
      </c>
      <c r="Q27" s="9" t="s">
        <v>60</v>
      </c>
      <c r="R27" s="24" t="s">
        <v>83</v>
      </c>
      <c r="S27" s="7"/>
      <c r="T27" s="7"/>
      <c r="U27" s="7"/>
      <c r="V27" s="7"/>
      <c r="W27" s="7"/>
      <c r="X27" s="6"/>
    </row>
    <row r="28">
      <c r="A28" s="8">
        <v>25.0</v>
      </c>
      <c r="B28" s="8">
        <v>1.0</v>
      </c>
      <c r="C28" s="16"/>
      <c r="D28" s="16"/>
      <c r="E28" s="16"/>
      <c r="F28" s="16"/>
      <c r="H28" s="8">
        <v>25.0</v>
      </c>
      <c r="I28" s="16"/>
      <c r="J28" s="16"/>
      <c r="K28" s="16"/>
      <c r="L28" s="16"/>
      <c r="M28" s="16"/>
      <c r="P28" s="9" t="s">
        <v>46</v>
      </c>
      <c r="Q28" s="9" t="s">
        <v>46</v>
      </c>
      <c r="R28" s="9" t="s">
        <v>46</v>
      </c>
      <c r="S28" s="9" t="s">
        <v>46</v>
      </c>
      <c r="T28" s="9" t="s">
        <v>46</v>
      </c>
      <c r="U28" s="9" t="s">
        <v>46</v>
      </c>
      <c r="V28" s="9" t="s">
        <v>46</v>
      </c>
      <c r="W28" s="9" t="s">
        <v>46</v>
      </c>
      <c r="X28" s="9" t="s">
        <v>46</v>
      </c>
    </row>
    <row r="29">
      <c r="A29" s="8">
        <v>26.0</v>
      </c>
      <c r="B29" s="8">
        <v>1.0</v>
      </c>
      <c r="C29" s="16"/>
      <c r="D29" s="16"/>
      <c r="E29" s="16"/>
      <c r="F29" s="8">
        <v>1.0</v>
      </c>
      <c r="H29" s="8">
        <v>26.0</v>
      </c>
      <c r="I29" s="16"/>
      <c r="J29" s="8">
        <v>1.0</v>
      </c>
      <c r="K29" s="16"/>
      <c r="L29" s="16"/>
      <c r="M29" s="16"/>
      <c r="P29" s="12">
        <v>185.0</v>
      </c>
      <c r="Q29" s="9" t="s">
        <v>60</v>
      </c>
      <c r="R29" s="24" t="s">
        <v>84</v>
      </c>
      <c r="S29" s="7"/>
      <c r="T29" s="7"/>
      <c r="U29" s="7"/>
      <c r="V29" s="7"/>
      <c r="W29" s="7"/>
      <c r="X29" s="6"/>
    </row>
    <row r="30">
      <c r="A30" s="8">
        <v>27.0</v>
      </c>
      <c r="B30" s="8">
        <v>1.0</v>
      </c>
      <c r="C30" s="16"/>
      <c r="D30" s="16"/>
      <c r="E30" s="16"/>
      <c r="F30" s="8"/>
      <c r="H30" s="8">
        <v>27.0</v>
      </c>
      <c r="I30" s="16"/>
      <c r="J30" s="8">
        <v>1.0</v>
      </c>
      <c r="K30" s="16"/>
      <c r="L30" s="16"/>
      <c r="M30" s="16"/>
      <c r="P30" s="9" t="s">
        <v>46</v>
      </c>
      <c r="Q30" s="9" t="s">
        <v>46</v>
      </c>
      <c r="R30" s="9" t="s">
        <v>46</v>
      </c>
      <c r="S30" s="9" t="s">
        <v>46</v>
      </c>
      <c r="T30" s="9" t="s">
        <v>46</v>
      </c>
      <c r="U30" s="9" t="s">
        <v>46</v>
      </c>
      <c r="V30" s="9" t="s">
        <v>46</v>
      </c>
      <c r="W30" s="9" t="s">
        <v>46</v>
      </c>
      <c r="X30" s="9" t="s">
        <v>46</v>
      </c>
    </row>
    <row r="31">
      <c r="A31" s="8">
        <v>28.0</v>
      </c>
      <c r="B31" s="8">
        <v>1.0</v>
      </c>
      <c r="C31" s="16"/>
      <c r="D31" s="16"/>
      <c r="E31" s="16"/>
      <c r="F31" s="16"/>
      <c r="H31" s="8">
        <v>28.0</v>
      </c>
      <c r="I31" s="8">
        <v>1.0</v>
      </c>
      <c r="J31" s="16"/>
      <c r="K31" s="16"/>
      <c r="L31" s="16"/>
      <c r="M31" s="16"/>
      <c r="P31" s="12">
        <v>462.0</v>
      </c>
      <c r="Q31" s="9" t="s">
        <v>60</v>
      </c>
      <c r="R31" s="24" t="s">
        <v>85</v>
      </c>
      <c r="S31" s="7"/>
      <c r="T31" s="7"/>
      <c r="U31" s="7"/>
      <c r="V31" s="7"/>
      <c r="W31" s="7"/>
      <c r="X31" s="6"/>
    </row>
    <row r="32">
      <c r="A32" s="40" t="s">
        <v>87</v>
      </c>
      <c r="B32" s="8">
        <f t="shared" ref="B32:F32" si="1">SUM(B4:B31)</f>
        <v>14</v>
      </c>
      <c r="C32" s="8">
        <f t="shared" si="1"/>
        <v>1</v>
      </c>
      <c r="D32" s="8">
        <f t="shared" si="1"/>
        <v>0</v>
      </c>
      <c r="E32" s="8">
        <f t="shared" si="1"/>
        <v>0</v>
      </c>
      <c r="F32" s="8">
        <f t="shared" si="1"/>
        <v>4</v>
      </c>
      <c r="H32" s="8">
        <v>29.0</v>
      </c>
      <c r="I32" s="8">
        <v>1.0</v>
      </c>
      <c r="J32" s="16"/>
      <c r="K32" s="16"/>
      <c r="L32" s="16"/>
      <c r="M32" s="16"/>
      <c r="P32" s="9" t="s">
        <v>46</v>
      </c>
      <c r="Q32" s="9" t="s">
        <v>46</v>
      </c>
      <c r="R32" s="9" t="s">
        <v>46</v>
      </c>
      <c r="S32" s="9" t="s">
        <v>46</v>
      </c>
      <c r="T32" s="9" t="s">
        <v>46</v>
      </c>
      <c r="U32" s="9" t="s">
        <v>46</v>
      </c>
      <c r="V32" s="9" t="s">
        <v>46</v>
      </c>
      <c r="W32" s="9" t="s">
        <v>46</v>
      </c>
      <c r="X32" s="9" t="s">
        <v>46</v>
      </c>
    </row>
    <row r="33">
      <c r="A33" s="41" t="s">
        <v>89</v>
      </c>
      <c r="B33" s="42">
        <f>C32-B32</f>
        <v>-13</v>
      </c>
      <c r="C33" s="6"/>
      <c r="D33" s="16">
        <f>SUM(D4:D31)</f>
        <v>0</v>
      </c>
      <c r="E33" s="42">
        <f>(F32-E32)*4</f>
        <v>16</v>
      </c>
      <c r="F33" s="6"/>
      <c r="H33" s="8">
        <v>30.0</v>
      </c>
      <c r="I33" s="8">
        <v>1.0</v>
      </c>
      <c r="J33" s="16"/>
      <c r="K33" s="16"/>
      <c r="L33" s="16"/>
      <c r="M33" s="16"/>
      <c r="P33" s="12">
        <v>124.0</v>
      </c>
      <c r="Q33" s="9" t="s">
        <v>60</v>
      </c>
      <c r="R33" s="24" t="s">
        <v>90</v>
      </c>
      <c r="S33" s="7"/>
      <c r="T33" s="7"/>
      <c r="U33" s="7"/>
      <c r="V33" s="7"/>
      <c r="W33" s="7"/>
      <c r="X33" s="6"/>
    </row>
    <row r="34">
      <c r="A34" s="40" t="s">
        <v>92</v>
      </c>
      <c r="B34" s="43">
        <f>B33+D33+E33</f>
        <v>3</v>
      </c>
      <c r="C34" s="7"/>
      <c r="D34" s="7"/>
      <c r="E34" s="7"/>
      <c r="F34" s="6"/>
      <c r="H34" s="8">
        <v>31.0</v>
      </c>
      <c r="I34" s="8">
        <v>1.0</v>
      </c>
      <c r="J34" s="16"/>
      <c r="K34" s="16"/>
      <c r="L34" s="16"/>
      <c r="M34" s="16"/>
      <c r="P34" s="9" t="s">
        <v>46</v>
      </c>
      <c r="Q34" s="9" t="s">
        <v>46</v>
      </c>
      <c r="R34" s="9" t="s">
        <v>46</v>
      </c>
      <c r="S34" s="9" t="s">
        <v>46</v>
      </c>
      <c r="T34" s="9" t="s">
        <v>46</v>
      </c>
      <c r="U34" s="9" t="s">
        <v>46</v>
      </c>
      <c r="V34" s="9" t="s">
        <v>46</v>
      </c>
      <c r="W34" s="9" t="s">
        <v>46</v>
      </c>
      <c r="X34" s="9" t="s">
        <v>46</v>
      </c>
    </row>
    <row r="35">
      <c r="H35" s="40" t="s">
        <v>87</v>
      </c>
      <c r="I35" s="8">
        <f t="shared" ref="I35:M35" si="2">SUM(I4:I34)</f>
        <v>18</v>
      </c>
      <c r="J35" s="8">
        <f t="shared" si="2"/>
        <v>12</v>
      </c>
      <c r="K35" s="8">
        <f t="shared" si="2"/>
        <v>0</v>
      </c>
      <c r="L35" s="8">
        <f t="shared" si="2"/>
        <v>0</v>
      </c>
      <c r="M35" s="8">
        <f t="shared" si="2"/>
        <v>0</v>
      </c>
      <c r="P35" s="12">
        <v>308.0</v>
      </c>
      <c r="Q35" s="9" t="s">
        <v>60</v>
      </c>
      <c r="R35" s="24" t="s">
        <v>93</v>
      </c>
      <c r="S35" s="7"/>
      <c r="T35" s="7"/>
      <c r="U35" s="7"/>
      <c r="V35" s="7"/>
      <c r="W35" s="7"/>
      <c r="X35" s="6"/>
    </row>
    <row r="36">
      <c r="A36" s="16"/>
      <c r="B36" s="21" t="s">
        <v>95</v>
      </c>
      <c r="C36" s="7"/>
      <c r="D36" s="7"/>
      <c r="E36" s="7"/>
      <c r="F36" s="6"/>
      <c r="H36" s="41" t="s">
        <v>89</v>
      </c>
      <c r="I36" s="42">
        <f>J35-I35</f>
        <v>-6</v>
      </c>
      <c r="J36" s="6"/>
      <c r="K36" s="16">
        <f>SUM(K7:K34)</f>
        <v>0</v>
      </c>
      <c r="L36" s="42">
        <f>(M35-L35)*5</f>
        <v>0</v>
      </c>
      <c r="M36" s="6"/>
      <c r="P36" s="9" t="s">
        <v>46</v>
      </c>
      <c r="Q36" s="9" t="s">
        <v>46</v>
      </c>
      <c r="R36" s="9" t="s">
        <v>46</v>
      </c>
      <c r="S36" s="9" t="s">
        <v>46</v>
      </c>
      <c r="T36" s="9" t="s">
        <v>46</v>
      </c>
      <c r="U36" s="9" t="s">
        <v>46</v>
      </c>
      <c r="V36" s="9" t="s">
        <v>46</v>
      </c>
      <c r="W36" s="9" t="s">
        <v>46</v>
      </c>
      <c r="X36" s="9" t="s">
        <v>46</v>
      </c>
    </row>
    <row r="37">
      <c r="A37" s="16"/>
      <c r="B37" s="5" t="s">
        <v>43</v>
      </c>
      <c r="C37" s="6"/>
      <c r="D37" s="9" t="s">
        <v>46</v>
      </c>
      <c r="E37" s="24" t="s">
        <v>48</v>
      </c>
      <c r="F37" s="6"/>
      <c r="H37" s="40" t="s">
        <v>92</v>
      </c>
      <c r="I37" s="43">
        <f>I36+K36+L36</f>
        <v>-6</v>
      </c>
      <c r="J37" s="7"/>
      <c r="K37" s="7"/>
      <c r="L37" s="7"/>
      <c r="M37" s="6"/>
      <c r="P37" s="12">
        <v>999.0</v>
      </c>
      <c r="Q37" s="9" t="s">
        <v>60</v>
      </c>
      <c r="R37" s="24" t="s">
        <v>99</v>
      </c>
      <c r="S37" s="7"/>
      <c r="T37" s="7"/>
      <c r="U37" s="7"/>
      <c r="V37" s="7"/>
      <c r="W37" s="7"/>
      <c r="X37" s="6"/>
    </row>
    <row r="38">
      <c r="A38" s="16"/>
      <c r="B38" s="27" t="s">
        <v>56</v>
      </c>
      <c r="C38" s="28" t="s">
        <v>57</v>
      </c>
      <c r="D38" s="16"/>
      <c r="E38" s="31" t="s">
        <v>58</v>
      </c>
      <c r="F38" s="32" t="s">
        <v>59</v>
      </c>
    </row>
    <row r="39">
      <c r="A39" s="8">
        <v>1.0</v>
      </c>
      <c r="B39" s="8">
        <v>1.0</v>
      </c>
      <c r="C39" s="16"/>
      <c r="D39" s="16"/>
      <c r="E39" s="16"/>
      <c r="F39" s="16"/>
      <c r="H39" s="16"/>
      <c r="I39" s="21" t="s">
        <v>104</v>
      </c>
      <c r="J39" s="7"/>
      <c r="K39" s="7"/>
      <c r="L39" s="7"/>
      <c r="M39" s="6"/>
      <c r="P39" s="4">
        <v>3.0</v>
      </c>
      <c r="Q39" s="9" t="s">
        <v>60</v>
      </c>
      <c r="R39" s="5" t="s">
        <v>105</v>
      </c>
      <c r="S39" s="7"/>
      <c r="T39" s="7"/>
      <c r="U39" s="7"/>
      <c r="V39" s="7"/>
      <c r="W39" s="7"/>
      <c r="X39" s="6"/>
    </row>
    <row r="40">
      <c r="A40" s="8">
        <v>2.0</v>
      </c>
      <c r="B40" s="8">
        <v>1.0</v>
      </c>
      <c r="C40" s="16"/>
      <c r="D40" s="16"/>
      <c r="E40" s="16"/>
      <c r="F40" s="16"/>
      <c r="H40" s="16"/>
      <c r="I40" s="5" t="s">
        <v>43</v>
      </c>
      <c r="J40" s="6"/>
      <c r="K40" s="9" t="s">
        <v>46</v>
      </c>
      <c r="L40" s="24" t="s">
        <v>48</v>
      </c>
      <c r="M40" s="6"/>
    </row>
    <row r="41">
      <c r="A41" s="8">
        <v>3.0</v>
      </c>
      <c r="B41" s="8">
        <v>1.0</v>
      </c>
      <c r="C41" s="16"/>
      <c r="D41" s="16"/>
      <c r="E41" s="16"/>
      <c r="F41" s="16"/>
      <c r="H41" s="16"/>
      <c r="I41" s="27" t="s">
        <v>56</v>
      </c>
      <c r="J41" s="28" t="s">
        <v>57</v>
      </c>
      <c r="K41" s="16"/>
      <c r="L41" s="31" t="s">
        <v>58</v>
      </c>
      <c r="M41" s="32" t="s">
        <v>59</v>
      </c>
    </row>
    <row r="42">
      <c r="A42" s="8">
        <v>4.0</v>
      </c>
      <c r="B42" s="8">
        <v>1.0</v>
      </c>
      <c r="C42" s="16"/>
      <c r="D42" s="16"/>
      <c r="E42" s="16"/>
      <c r="F42" s="16"/>
      <c r="H42" s="8">
        <v>1.0</v>
      </c>
      <c r="I42" s="8">
        <v>1.0</v>
      </c>
      <c r="J42" s="16"/>
      <c r="K42" s="16"/>
      <c r="L42" s="16"/>
      <c r="M42" s="16"/>
    </row>
    <row r="43">
      <c r="A43" s="8">
        <v>5.0</v>
      </c>
      <c r="B43" s="8">
        <v>1.0</v>
      </c>
      <c r="C43" s="16"/>
      <c r="D43" s="16"/>
      <c r="E43" s="16"/>
      <c r="F43" s="16"/>
      <c r="H43" s="8">
        <v>2.0</v>
      </c>
      <c r="I43" s="8"/>
      <c r="J43" s="8">
        <v>1.0</v>
      </c>
      <c r="K43" s="16"/>
      <c r="L43" s="16"/>
      <c r="M43" s="16"/>
    </row>
    <row r="44">
      <c r="A44" s="8">
        <v>6.0</v>
      </c>
      <c r="B44" s="8">
        <v>1.0</v>
      </c>
      <c r="C44" s="16"/>
      <c r="D44" s="16"/>
      <c r="E44" s="16"/>
      <c r="F44" s="16"/>
      <c r="H44" s="8">
        <v>3.0</v>
      </c>
      <c r="I44" s="8">
        <v>1.0</v>
      </c>
      <c r="J44" s="16"/>
      <c r="K44" s="16"/>
      <c r="L44" s="16"/>
      <c r="M44" s="16"/>
    </row>
    <row r="45">
      <c r="A45" s="8">
        <v>7.0</v>
      </c>
      <c r="B45" s="8">
        <v>1.0</v>
      </c>
      <c r="C45" s="16"/>
      <c r="D45" s="16"/>
      <c r="E45" s="16"/>
      <c r="F45" s="16"/>
      <c r="H45" s="8">
        <v>4.0</v>
      </c>
      <c r="I45" s="8"/>
      <c r="J45" s="8">
        <v>1.0</v>
      </c>
      <c r="K45" s="8"/>
      <c r="L45" s="16"/>
      <c r="M45" s="16"/>
    </row>
    <row r="46">
      <c r="A46" s="8">
        <v>8.0</v>
      </c>
      <c r="B46" s="8">
        <v>1.0</v>
      </c>
      <c r="C46" s="16"/>
      <c r="D46" s="16"/>
      <c r="E46" s="16"/>
      <c r="F46" s="16"/>
      <c r="H46" s="8">
        <v>5.0</v>
      </c>
      <c r="I46" s="8">
        <v>1.0</v>
      </c>
      <c r="J46" s="8"/>
      <c r="K46" s="16"/>
      <c r="L46" s="16"/>
      <c r="M46" s="16"/>
    </row>
    <row r="47">
      <c r="A47" s="8">
        <v>9.0</v>
      </c>
      <c r="B47" s="8">
        <v>1.0</v>
      </c>
      <c r="C47" s="16"/>
      <c r="D47" s="16"/>
      <c r="E47" s="16"/>
      <c r="F47" s="16"/>
      <c r="H47" s="8">
        <v>6.0</v>
      </c>
      <c r="I47" s="8">
        <v>1.0</v>
      </c>
      <c r="J47" s="8"/>
      <c r="K47" s="16"/>
      <c r="L47" s="16"/>
      <c r="M47" s="16"/>
    </row>
    <row r="48">
      <c r="A48" s="8">
        <v>10.0</v>
      </c>
      <c r="B48" s="8">
        <v>1.0</v>
      </c>
      <c r="C48" s="16"/>
      <c r="D48" s="16"/>
      <c r="E48" s="16"/>
      <c r="F48" s="16"/>
      <c r="H48" s="8">
        <v>7.0</v>
      </c>
      <c r="I48" s="8">
        <v>1.0</v>
      </c>
      <c r="J48" s="16"/>
      <c r="K48" s="16"/>
      <c r="L48" s="16"/>
      <c r="M48" s="16"/>
    </row>
    <row r="49">
      <c r="A49" s="8">
        <v>11.0</v>
      </c>
      <c r="B49" s="8">
        <v>1.0</v>
      </c>
      <c r="C49" s="16"/>
      <c r="D49" s="16"/>
      <c r="E49" s="16"/>
      <c r="F49" s="16"/>
      <c r="H49" s="8">
        <v>8.0</v>
      </c>
      <c r="I49" s="8">
        <v>1.0</v>
      </c>
      <c r="J49" s="8"/>
      <c r="K49" s="8"/>
      <c r="L49" s="16"/>
      <c r="M49" s="16"/>
    </row>
    <row r="50">
      <c r="A50" s="8">
        <v>12.0</v>
      </c>
      <c r="B50" s="8">
        <v>1.0</v>
      </c>
      <c r="C50" s="16"/>
      <c r="D50" s="16"/>
      <c r="E50" s="16"/>
      <c r="F50" s="16"/>
      <c r="H50" s="8">
        <v>9.0</v>
      </c>
      <c r="I50" s="8"/>
      <c r="J50" s="8">
        <v>1.0</v>
      </c>
      <c r="K50" s="16"/>
      <c r="L50" s="16"/>
      <c r="M50" s="16"/>
    </row>
    <row r="51">
      <c r="A51" s="8">
        <v>13.0</v>
      </c>
      <c r="B51" s="8">
        <v>1.0</v>
      </c>
      <c r="C51" s="16"/>
      <c r="D51" s="16"/>
      <c r="E51" s="16"/>
      <c r="F51" s="16"/>
      <c r="H51" s="8">
        <v>10.0</v>
      </c>
      <c r="I51" s="8"/>
      <c r="J51" s="8">
        <v>1.0</v>
      </c>
      <c r="K51" s="16"/>
      <c r="L51" s="16"/>
      <c r="M51" s="16"/>
    </row>
    <row r="52">
      <c r="A52" s="8">
        <v>14.0</v>
      </c>
      <c r="B52" s="8">
        <v>1.0</v>
      </c>
      <c r="C52" s="16"/>
      <c r="D52" s="16"/>
      <c r="E52" s="16"/>
      <c r="F52" s="16"/>
      <c r="H52" s="8">
        <v>11.0</v>
      </c>
      <c r="I52" s="8">
        <v>1.0</v>
      </c>
      <c r="J52" s="8"/>
      <c r="K52" s="16"/>
      <c r="L52" s="16"/>
      <c r="M52" s="16"/>
    </row>
    <row r="53">
      <c r="A53" s="8">
        <v>15.0</v>
      </c>
      <c r="B53" s="8">
        <v>1.0</v>
      </c>
      <c r="C53" s="16"/>
      <c r="D53" s="16"/>
      <c r="E53" s="16"/>
      <c r="F53" s="16"/>
      <c r="H53" s="8">
        <v>12.0</v>
      </c>
      <c r="I53" s="8">
        <v>1.0</v>
      </c>
      <c r="J53" s="16"/>
      <c r="K53" s="16"/>
      <c r="L53" s="16"/>
      <c r="M53" s="8"/>
    </row>
    <row r="54">
      <c r="A54" s="8">
        <v>16.0</v>
      </c>
      <c r="B54" s="8">
        <v>1.0</v>
      </c>
      <c r="C54" s="16"/>
      <c r="D54" s="16"/>
      <c r="E54" s="16"/>
      <c r="F54" s="16"/>
      <c r="H54" s="8">
        <v>13.0</v>
      </c>
      <c r="I54" s="8">
        <v>1.0</v>
      </c>
      <c r="J54" s="8"/>
      <c r="K54" s="16"/>
      <c r="L54" s="16"/>
      <c r="M54" s="16"/>
    </row>
    <row r="55">
      <c r="A55" s="8">
        <v>17.0</v>
      </c>
      <c r="B55" s="8">
        <v>1.0</v>
      </c>
      <c r="C55" s="16"/>
      <c r="D55" s="16"/>
      <c r="E55" s="16"/>
      <c r="F55" s="16"/>
      <c r="H55" s="8">
        <v>14.0</v>
      </c>
      <c r="I55" s="8">
        <v>1.0</v>
      </c>
      <c r="J55" s="16"/>
      <c r="K55" s="16"/>
      <c r="L55" s="16"/>
      <c r="M55" s="16"/>
    </row>
    <row r="56">
      <c r="A56" s="8">
        <v>18.0</v>
      </c>
      <c r="B56" s="16"/>
      <c r="C56" s="8">
        <v>1.0</v>
      </c>
      <c r="D56" s="16"/>
      <c r="E56" s="16"/>
      <c r="F56" s="16"/>
      <c r="H56" s="8">
        <v>15.0</v>
      </c>
      <c r="I56" s="8">
        <v>1.0</v>
      </c>
      <c r="J56" s="16"/>
      <c r="K56" s="16"/>
      <c r="L56" s="16"/>
      <c r="M56" s="16"/>
    </row>
    <row r="57">
      <c r="A57" s="8">
        <v>19.0</v>
      </c>
      <c r="B57" s="16"/>
      <c r="C57" s="8">
        <v>1.0</v>
      </c>
      <c r="D57" s="16"/>
      <c r="E57" s="16"/>
      <c r="F57" s="16"/>
      <c r="H57" s="8">
        <v>16.0</v>
      </c>
      <c r="I57" s="8">
        <v>1.0</v>
      </c>
      <c r="J57" s="8"/>
      <c r="K57" s="16"/>
      <c r="L57" s="16"/>
      <c r="M57" s="16"/>
    </row>
    <row r="58">
      <c r="A58" s="8">
        <v>20.0</v>
      </c>
      <c r="B58" s="16"/>
      <c r="C58" s="8">
        <v>1.0</v>
      </c>
      <c r="D58" s="16"/>
      <c r="E58" s="16"/>
      <c r="F58" s="16"/>
      <c r="H58" s="8">
        <v>17.0</v>
      </c>
      <c r="I58" s="8">
        <v>1.0</v>
      </c>
      <c r="J58" s="8"/>
      <c r="K58" s="16"/>
      <c r="L58" s="16"/>
      <c r="M58" s="16"/>
    </row>
    <row r="59">
      <c r="A59" s="8">
        <v>21.0</v>
      </c>
      <c r="B59" s="16"/>
      <c r="C59" s="8">
        <v>1.0</v>
      </c>
      <c r="D59" s="16"/>
      <c r="E59" s="16"/>
      <c r="F59" s="16"/>
      <c r="H59" s="8">
        <v>18.0</v>
      </c>
      <c r="I59" s="8"/>
      <c r="J59" s="8">
        <v>1.0</v>
      </c>
      <c r="K59" s="16"/>
      <c r="L59" s="16"/>
      <c r="M59" s="16"/>
    </row>
    <row r="60">
      <c r="A60" s="8">
        <v>22.0</v>
      </c>
      <c r="B60" s="16"/>
      <c r="C60" s="8">
        <v>1.0</v>
      </c>
      <c r="D60" s="16"/>
      <c r="E60" s="16"/>
      <c r="F60" s="16"/>
      <c r="H60" s="8">
        <v>19.0</v>
      </c>
      <c r="I60" s="8"/>
      <c r="J60" s="8">
        <v>1.0</v>
      </c>
      <c r="K60" s="16"/>
      <c r="L60" s="16"/>
      <c r="M60" s="16"/>
    </row>
    <row r="61">
      <c r="A61" s="8">
        <v>23.0</v>
      </c>
      <c r="B61" s="16"/>
      <c r="C61" s="8">
        <v>1.0</v>
      </c>
      <c r="D61" s="16"/>
      <c r="E61" s="16"/>
      <c r="F61" s="16"/>
      <c r="H61" s="8">
        <v>20.0</v>
      </c>
      <c r="I61" s="8"/>
      <c r="J61" s="8">
        <v>1.0</v>
      </c>
      <c r="K61" s="16"/>
      <c r="L61" s="16"/>
      <c r="M61" s="16"/>
    </row>
    <row r="62">
      <c r="A62" s="8">
        <v>24.0</v>
      </c>
      <c r="B62" s="16"/>
      <c r="C62" s="16"/>
      <c r="D62" s="16"/>
      <c r="E62" s="16"/>
      <c r="F62" s="16"/>
      <c r="H62" s="8">
        <v>21.0</v>
      </c>
      <c r="I62" s="8"/>
      <c r="J62" s="8">
        <v>1.0</v>
      </c>
      <c r="K62" s="16"/>
      <c r="L62" s="16"/>
      <c r="M62" s="16"/>
    </row>
    <row r="63">
      <c r="A63" s="8">
        <v>25.0</v>
      </c>
      <c r="B63" s="16"/>
      <c r="C63" s="8">
        <v>1.0</v>
      </c>
      <c r="D63" s="16"/>
      <c r="E63" s="16"/>
      <c r="F63" s="16"/>
      <c r="H63" s="8">
        <v>22.0</v>
      </c>
      <c r="I63" s="8"/>
      <c r="J63" s="8">
        <v>1.0</v>
      </c>
      <c r="K63" s="16"/>
      <c r="L63" s="16"/>
      <c r="M63" s="8"/>
    </row>
    <row r="64">
      <c r="A64" s="8">
        <v>26.0</v>
      </c>
      <c r="B64" s="16"/>
      <c r="C64" s="8">
        <v>1.0</v>
      </c>
      <c r="D64" s="16"/>
      <c r="E64" s="16"/>
      <c r="F64" s="16"/>
      <c r="H64" s="8">
        <v>23.0</v>
      </c>
      <c r="I64" s="8"/>
      <c r="J64" s="8">
        <v>1.0</v>
      </c>
      <c r="K64" s="16"/>
      <c r="L64" s="16"/>
      <c r="M64" s="16"/>
    </row>
    <row r="65">
      <c r="A65" s="8">
        <v>27.0</v>
      </c>
      <c r="B65" s="16"/>
      <c r="C65" s="8">
        <v>1.0</v>
      </c>
      <c r="D65" s="16"/>
      <c r="E65" s="16"/>
      <c r="F65" s="16"/>
      <c r="H65" s="8">
        <v>24.0</v>
      </c>
      <c r="I65" s="8"/>
      <c r="J65" s="8">
        <v>1.0</v>
      </c>
      <c r="K65" s="16"/>
      <c r="L65" s="16"/>
      <c r="M65" s="16"/>
    </row>
    <row r="66">
      <c r="A66" s="8">
        <v>28.0</v>
      </c>
      <c r="B66" s="16"/>
      <c r="C66" s="8">
        <v>1.0</v>
      </c>
      <c r="D66" s="16"/>
      <c r="E66" s="16"/>
      <c r="F66" s="16"/>
      <c r="H66" s="8">
        <v>25.0</v>
      </c>
      <c r="I66" s="16"/>
      <c r="J66" s="8">
        <v>1.0</v>
      </c>
      <c r="K66" s="16"/>
      <c r="L66" s="16"/>
      <c r="M66" s="16"/>
    </row>
    <row r="67">
      <c r="A67" s="8">
        <v>29.0</v>
      </c>
      <c r="B67" s="8">
        <v>1.0</v>
      </c>
      <c r="C67" s="16"/>
      <c r="D67" s="16"/>
      <c r="E67" s="16"/>
      <c r="F67" s="16"/>
      <c r="H67" s="8">
        <v>26.0</v>
      </c>
      <c r="I67" s="8"/>
      <c r="J67" s="8">
        <v>1.0</v>
      </c>
      <c r="K67" s="16"/>
      <c r="L67" s="16"/>
      <c r="M67" s="16"/>
    </row>
    <row r="68">
      <c r="A68" s="8">
        <v>30.0</v>
      </c>
      <c r="B68" s="8">
        <v>1.0</v>
      </c>
      <c r="C68" s="16"/>
      <c r="D68" s="16"/>
      <c r="E68" s="16"/>
      <c r="F68" s="16"/>
      <c r="H68" s="8">
        <v>27.0</v>
      </c>
      <c r="I68" s="8">
        <v>1.0</v>
      </c>
      <c r="J68" s="8"/>
      <c r="K68" s="16"/>
      <c r="L68" s="16"/>
      <c r="M68" s="16"/>
    </row>
    <row r="69">
      <c r="A69" s="40" t="s">
        <v>87</v>
      </c>
      <c r="B69" s="8">
        <f t="shared" ref="B69:F69" si="3">SUM(B39:B68)</f>
        <v>19</v>
      </c>
      <c r="C69" s="8">
        <f t="shared" si="3"/>
        <v>10</v>
      </c>
      <c r="D69" s="8">
        <f t="shared" si="3"/>
        <v>0</v>
      </c>
      <c r="E69" s="8">
        <f t="shared" si="3"/>
        <v>0</v>
      </c>
      <c r="F69" s="8">
        <f t="shared" si="3"/>
        <v>0</v>
      </c>
      <c r="H69" s="8">
        <v>28.0</v>
      </c>
      <c r="I69" s="8">
        <v>1.0</v>
      </c>
      <c r="J69" s="16"/>
      <c r="K69" s="16"/>
      <c r="L69" s="16"/>
      <c r="M69" s="16"/>
    </row>
    <row r="70">
      <c r="A70" s="41" t="s">
        <v>89</v>
      </c>
      <c r="B70" s="42">
        <f>C69-B69</f>
        <v>-9</v>
      </c>
      <c r="C70" s="6"/>
      <c r="D70" s="16">
        <f>SUM(D42:D68)</f>
        <v>0</v>
      </c>
      <c r="E70" s="42">
        <f>(F69-E69)*5</f>
        <v>0</v>
      </c>
      <c r="F70" s="6"/>
      <c r="H70" s="8">
        <v>29.0</v>
      </c>
      <c r="I70" s="8"/>
      <c r="J70" s="8">
        <v>1.0</v>
      </c>
      <c r="K70" s="16"/>
      <c r="L70" s="16"/>
      <c r="M70" s="16"/>
    </row>
    <row r="71">
      <c r="A71" s="40" t="s">
        <v>92</v>
      </c>
      <c r="B71" s="43">
        <f>B70+D70+E70</f>
        <v>-9</v>
      </c>
      <c r="C71" s="7"/>
      <c r="D71" s="7"/>
      <c r="E71" s="7"/>
      <c r="F71" s="6"/>
      <c r="H71" s="8">
        <v>30.0</v>
      </c>
      <c r="I71" s="8"/>
      <c r="J71" s="8">
        <v>1.0</v>
      </c>
      <c r="K71" s="16"/>
      <c r="L71" s="16"/>
      <c r="M71" s="16"/>
    </row>
    <row r="72">
      <c r="H72" s="40" t="s">
        <v>87</v>
      </c>
      <c r="I72" s="8">
        <f t="shared" ref="I72:M72" si="4">SUM(I42:I71)</f>
        <v>15</v>
      </c>
      <c r="J72" s="8">
        <f t="shared" si="4"/>
        <v>15</v>
      </c>
      <c r="K72" s="8">
        <f t="shared" si="4"/>
        <v>0</v>
      </c>
      <c r="L72" s="8">
        <f t="shared" si="4"/>
        <v>0</v>
      </c>
      <c r="M72" s="8">
        <f t="shared" si="4"/>
        <v>0</v>
      </c>
    </row>
    <row r="73">
      <c r="A73" s="16"/>
      <c r="B73" s="21" t="s">
        <v>121</v>
      </c>
      <c r="C73" s="7"/>
      <c r="D73" s="7"/>
      <c r="E73" s="7"/>
      <c r="F73" s="6"/>
      <c r="H73" s="41" t="s">
        <v>89</v>
      </c>
      <c r="I73" s="42">
        <f>J72-I72</f>
        <v>0</v>
      </c>
      <c r="J73" s="6"/>
      <c r="K73" s="16">
        <f>SUM(K45:K71)</f>
        <v>0</v>
      </c>
      <c r="L73" s="42">
        <f>(M72-L72)*5</f>
        <v>0</v>
      </c>
      <c r="M73" s="6"/>
    </row>
    <row r="74">
      <c r="A74" s="16"/>
      <c r="B74" s="5" t="s">
        <v>43</v>
      </c>
      <c r="C74" s="6"/>
      <c r="D74" s="9" t="s">
        <v>46</v>
      </c>
      <c r="E74" s="24" t="s">
        <v>48</v>
      </c>
      <c r="F74" s="6"/>
      <c r="H74" s="40" t="s">
        <v>92</v>
      </c>
      <c r="I74" s="43">
        <f>I73+K73+L73</f>
        <v>0</v>
      </c>
      <c r="J74" s="7"/>
      <c r="K74" s="7"/>
      <c r="L74" s="7"/>
      <c r="M74" s="6"/>
    </row>
    <row r="75">
      <c r="A75" s="16"/>
      <c r="B75" s="27" t="s">
        <v>56</v>
      </c>
      <c r="C75" s="28" t="s">
        <v>57</v>
      </c>
      <c r="D75" s="16"/>
      <c r="E75" s="31" t="s">
        <v>58</v>
      </c>
      <c r="F75" s="32" t="s">
        <v>59</v>
      </c>
    </row>
    <row r="76">
      <c r="A76" s="8">
        <v>1.0</v>
      </c>
      <c r="B76" s="8">
        <v>1.0</v>
      </c>
      <c r="C76" s="16"/>
      <c r="D76" s="16"/>
      <c r="E76" s="16"/>
      <c r="F76" s="16"/>
      <c r="H76" s="16"/>
      <c r="I76" s="21" t="s">
        <v>127</v>
      </c>
      <c r="J76" s="7"/>
      <c r="K76" s="7"/>
      <c r="L76" s="7"/>
      <c r="M76" s="6"/>
    </row>
    <row r="77">
      <c r="A77" s="8">
        <v>2.0</v>
      </c>
      <c r="B77" s="8"/>
      <c r="C77" s="8">
        <v>1.0</v>
      </c>
      <c r="D77" s="16"/>
      <c r="E77" s="16"/>
      <c r="F77" s="16"/>
      <c r="H77" s="16"/>
      <c r="I77" s="5" t="s">
        <v>43</v>
      </c>
      <c r="J77" s="6"/>
      <c r="K77" s="9" t="s">
        <v>46</v>
      </c>
      <c r="L77" s="24" t="s">
        <v>48</v>
      </c>
      <c r="M77" s="6"/>
    </row>
    <row r="78">
      <c r="A78" s="8">
        <v>3.0</v>
      </c>
      <c r="B78" s="8">
        <v>1.0</v>
      </c>
      <c r="C78" s="16"/>
      <c r="D78" s="16"/>
      <c r="E78" s="16"/>
      <c r="F78" s="16"/>
      <c r="H78" s="16"/>
      <c r="I78" s="27" t="s">
        <v>56</v>
      </c>
      <c r="J78" s="28" t="s">
        <v>57</v>
      </c>
      <c r="K78" s="16"/>
      <c r="L78" s="31" t="s">
        <v>58</v>
      </c>
      <c r="M78" s="32" t="s">
        <v>59</v>
      </c>
    </row>
    <row r="79">
      <c r="A79" s="8">
        <v>4.0</v>
      </c>
      <c r="B79" s="8"/>
      <c r="C79" s="8">
        <v>1.0</v>
      </c>
      <c r="D79" s="8">
        <v>1.0</v>
      </c>
      <c r="E79" s="16"/>
      <c r="F79" s="16"/>
      <c r="H79" s="8">
        <v>1.0</v>
      </c>
      <c r="I79" s="8">
        <v>1.0</v>
      </c>
      <c r="J79" s="16"/>
      <c r="K79" s="16"/>
      <c r="L79" s="16"/>
      <c r="M79" s="16"/>
    </row>
    <row r="80">
      <c r="A80" s="8">
        <v>5.0</v>
      </c>
      <c r="B80" s="8">
        <v>1.0</v>
      </c>
      <c r="C80" s="8"/>
      <c r="D80" s="16"/>
      <c r="E80" s="16"/>
      <c r="F80" s="16"/>
      <c r="H80" s="8">
        <v>2.0</v>
      </c>
      <c r="I80" s="8">
        <v>1.0</v>
      </c>
      <c r="J80" s="16"/>
      <c r="K80" s="16"/>
      <c r="L80" s="16"/>
      <c r="M80" s="16"/>
    </row>
    <row r="81">
      <c r="A81" s="8">
        <v>6.0</v>
      </c>
      <c r="B81" s="8">
        <v>1.0</v>
      </c>
      <c r="C81" s="8"/>
      <c r="D81" s="16"/>
      <c r="E81" s="16"/>
      <c r="F81" s="16"/>
      <c r="H81" s="8">
        <v>3.0</v>
      </c>
      <c r="I81" s="8">
        <v>1.0</v>
      </c>
      <c r="J81" s="16"/>
      <c r="K81" s="16"/>
      <c r="L81" s="16"/>
      <c r="M81" s="16"/>
    </row>
    <row r="82">
      <c r="A82" s="8">
        <v>7.0</v>
      </c>
      <c r="B82" s="8">
        <v>1.0</v>
      </c>
      <c r="C82" s="16"/>
      <c r="D82" s="16"/>
      <c r="E82" s="16"/>
      <c r="F82" s="16"/>
      <c r="H82" s="8">
        <v>4.0</v>
      </c>
      <c r="I82" s="8"/>
      <c r="J82" s="16"/>
      <c r="K82" s="16"/>
      <c r="L82" s="16"/>
      <c r="M82" s="16"/>
    </row>
    <row r="83">
      <c r="A83" s="8">
        <v>8.0</v>
      </c>
      <c r="B83" s="8">
        <v>1.0</v>
      </c>
      <c r="C83" s="8"/>
      <c r="D83" s="8">
        <v>3.0</v>
      </c>
      <c r="E83" s="16"/>
      <c r="F83" s="16"/>
      <c r="H83" s="8">
        <v>5.0</v>
      </c>
      <c r="I83" s="8"/>
      <c r="J83" s="8"/>
      <c r="K83" s="16"/>
      <c r="L83" s="16"/>
      <c r="M83" s="16"/>
    </row>
    <row r="84">
      <c r="A84" s="8">
        <v>9.0</v>
      </c>
      <c r="B84" s="8">
        <v>1.0</v>
      </c>
      <c r="C84" s="8"/>
      <c r="D84" s="16"/>
      <c r="E84" s="16"/>
      <c r="F84" s="16"/>
      <c r="H84" s="8">
        <v>6.0</v>
      </c>
      <c r="I84" s="8"/>
      <c r="J84" s="8"/>
      <c r="K84" s="16"/>
      <c r="L84" s="16"/>
      <c r="M84" s="16"/>
    </row>
    <row r="85">
      <c r="A85" s="8">
        <v>10.0</v>
      </c>
      <c r="B85" s="8">
        <v>1.0</v>
      </c>
      <c r="C85" s="8"/>
      <c r="D85" s="16"/>
      <c r="E85" s="16"/>
      <c r="F85" s="16"/>
      <c r="H85" s="8">
        <v>7.0</v>
      </c>
      <c r="I85" s="8"/>
      <c r="J85" s="16"/>
      <c r="K85" s="16"/>
      <c r="L85" s="16"/>
      <c r="M85" s="16"/>
    </row>
    <row r="86">
      <c r="A86" s="8">
        <v>11.0</v>
      </c>
      <c r="B86" s="8">
        <v>1.0</v>
      </c>
      <c r="C86" s="8"/>
      <c r="D86" s="16"/>
      <c r="E86" s="16"/>
      <c r="F86" s="16"/>
      <c r="H86" s="8">
        <v>8.0</v>
      </c>
      <c r="I86" s="16"/>
      <c r="J86" s="8"/>
      <c r="K86" s="16"/>
      <c r="L86" s="16"/>
      <c r="M86" s="16"/>
    </row>
    <row r="87">
      <c r="A87" s="8">
        <v>12.0</v>
      </c>
      <c r="B87" s="8">
        <v>1.0</v>
      </c>
      <c r="C87" s="16"/>
      <c r="D87" s="16"/>
      <c r="E87" s="16"/>
      <c r="F87" s="8">
        <v>1.0</v>
      </c>
      <c r="H87" s="8">
        <v>9.0</v>
      </c>
      <c r="I87" s="16"/>
      <c r="J87" s="8"/>
      <c r="K87" s="16"/>
      <c r="L87" s="16"/>
      <c r="M87" s="16"/>
    </row>
    <row r="88">
      <c r="A88" s="8">
        <v>13.0</v>
      </c>
      <c r="B88" s="8">
        <v>1.0</v>
      </c>
      <c r="C88" s="8"/>
      <c r="D88" s="16"/>
      <c r="E88" s="16"/>
      <c r="F88" s="16"/>
      <c r="H88" s="8">
        <v>10.0</v>
      </c>
      <c r="I88" s="16"/>
      <c r="J88" s="8"/>
      <c r="K88" s="16"/>
      <c r="L88" s="16"/>
      <c r="M88" s="16"/>
    </row>
    <row r="89">
      <c r="A89" s="8">
        <v>14.0</v>
      </c>
      <c r="B89" s="8">
        <v>1.0</v>
      </c>
      <c r="C89" s="16"/>
      <c r="D89" s="16"/>
      <c r="E89" s="16"/>
      <c r="F89" s="16"/>
      <c r="H89" s="8">
        <v>11.0</v>
      </c>
      <c r="I89" s="8"/>
      <c r="J89" s="8"/>
      <c r="K89" s="16"/>
      <c r="L89" s="16"/>
      <c r="M89" s="16"/>
    </row>
    <row r="90">
      <c r="A90" s="8">
        <v>15.0</v>
      </c>
      <c r="B90" s="8">
        <v>1.0</v>
      </c>
      <c r="C90" s="16"/>
      <c r="D90" s="16"/>
      <c r="E90" s="16"/>
      <c r="F90" s="16"/>
      <c r="H90" s="8">
        <v>12.0</v>
      </c>
      <c r="I90" s="8"/>
      <c r="J90" s="16"/>
      <c r="K90" s="16"/>
      <c r="L90" s="16"/>
      <c r="M90" s="16"/>
    </row>
    <row r="91">
      <c r="A91" s="8">
        <v>16.0</v>
      </c>
      <c r="B91" s="8">
        <v>1.0</v>
      </c>
      <c r="C91" s="8"/>
      <c r="D91" s="16"/>
      <c r="E91" s="16"/>
      <c r="F91" s="16"/>
      <c r="H91" s="8">
        <v>13.0</v>
      </c>
      <c r="I91" s="16"/>
      <c r="J91" s="8"/>
      <c r="K91" s="16"/>
      <c r="L91" s="16"/>
      <c r="M91" s="16"/>
    </row>
    <row r="92">
      <c r="A92" s="8">
        <v>17.0</v>
      </c>
      <c r="B92" s="8">
        <v>1.0</v>
      </c>
      <c r="C92" s="8"/>
      <c r="D92" s="16"/>
      <c r="E92" s="16"/>
      <c r="F92" s="16"/>
      <c r="H92" s="8">
        <v>14.0</v>
      </c>
      <c r="I92" s="8"/>
      <c r="J92" s="16"/>
      <c r="K92" s="16"/>
      <c r="L92" s="16"/>
      <c r="M92" s="16"/>
    </row>
    <row r="93">
      <c r="A93" s="8">
        <v>18.0</v>
      </c>
      <c r="B93" s="8">
        <v>1.0</v>
      </c>
      <c r="C93" s="16"/>
      <c r="D93" s="16"/>
      <c r="E93" s="16"/>
      <c r="F93" s="16"/>
      <c r="H93" s="8">
        <v>15.0</v>
      </c>
      <c r="I93" s="8"/>
      <c r="J93" s="16"/>
      <c r="K93" s="16"/>
      <c r="L93" s="16"/>
      <c r="M93" s="16"/>
    </row>
    <row r="94">
      <c r="A94" s="8">
        <v>19.0</v>
      </c>
      <c r="B94" s="8">
        <v>1.0</v>
      </c>
      <c r="C94" s="16"/>
      <c r="D94" s="16"/>
      <c r="E94" s="16"/>
      <c r="F94" s="16"/>
      <c r="H94" s="8">
        <v>16.0</v>
      </c>
      <c r="I94" s="8"/>
      <c r="J94" s="8"/>
      <c r="K94" s="16"/>
      <c r="L94" s="16"/>
      <c r="M94" s="16"/>
    </row>
    <row r="95">
      <c r="A95" s="8">
        <v>20.0</v>
      </c>
      <c r="B95" s="8">
        <v>1.0</v>
      </c>
      <c r="C95" s="16"/>
      <c r="D95" s="16"/>
      <c r="E95" s="16"/>
      <c r="F95" s="16"/>
      <c r="H95" s="8">
        <v>17.0</v>
      </c>
      <c r="I95" s="16"/>
      <c r="J95" s="8"/>
      <c r="K95" s="16"/>
      <c r="L95" s="16"/>
      <c r="M95" s="16"/>
    </row>
    <row r="96">
      <c r="A96" s="8">
        <v>21.0</v>
      </c>
      <c r="B96" s="8"/>
      <c r="C96" s="8">
        <v>1.0</v>
      </c>
      <c r="D96" s="16"/>
      <c r="E96" s="16"/>
      <c r="F96" s="16"/>
      <c r="H96" s="8">
        <v>18.0</v>
      </c>
      <c r="I96" s="8"/>
      <c r="J96" s="16"/>
      <c r="K96" s="16"/>
      <c r="L96" s="16"/>
      <c r="M96" s="16"/>
    </row>
    <row r="97">
      <c r="A97" s="8">
        <v>22.0</v>
      </c>
      <c r="B97" s="8">
        <v>1.0</v>
      </c>
      <c r="C97" s="16"/>
      <c r="D97" s="16"/>
      <c r="E97" s="16"/>
      <c r="F97" s="8">
        <v>1.0</v>
      </c>
      <c r="H97" s="8">
        <v>19.0</v>
      </c>
      <c r="I97" s="8"/>
      <c r="J97" s="16"/>
      <c r="K97" s="16"/>
      <c r="L97" s="16"/>
      <c r="M97" s="16"/>
    </row>
    <row r="98">
      <c r="A98" s="8">
        <v>23.0</v>
      </c>
      <c r="B98" s="8">
        <v>1.0</v>
      </c>
      <c r="C98" s="8"/>
      <c r="D98" s="16"/>
      <c r="E98" s="16"/>
      <c r="F98" s="16"/>
      <c r="H98" s="8">
        <v>20.0</v>
      </c>
      <c r="I98" s="8"/>
      <c r="J98" s="16"/>
      <c r="K98" s="16"/>
      <c r="L98" s="16"/>
      <c r="M98" s="16"/>
    </row>
    <row r="99">
      <c r="A99" s="8">
        <v>24.0</v>
      </c>
      <c r="B99" s="8">
        <v>1.0</v>
      </c>
      <c r="C99" s="8"/>
      <c r="D99" s="16"/>
      <c r="E99" s="16"/>
      <c r="F99" s="16"/>
      <c r="H99" s="8">
        <v>21.0</v>
      </c>
      <c r="I99" s="8"/>
      <c r="J99" s="16"/>
      <c r="K99" s="16"/>
      <c r="L99" s="16"/>
      <c r="M99" s="16"/>
    </row>
    <row r="100">
      <c r="A100" s="8">
        <v>25.0</v>
      </c>
      <c r="B100" s="16"/>
      <c r="C100" s="8">
        <v>1.0</v>
      </c>
      <c r="D100" s="16"/>
      <c r="E100" s="16"/>
      <c r="F100" s="16"/>
      <c r="H100" s="8">
        <v>22.0</v>
      </c>
      <c r="I100" s="8"/>
      <c r="J100" s="16"/>
      <c r="K100" s="16"/>
      <c r="L100" s="16"/>
      <c r="M100" s="16"/>
    </row>
    <row r="101">
      <c r="A101" s="8">
        <v>26.0</v>
      </c>
      <c r="B101" s="8">
        <v>1.0</v>
      </c>
      <c r="C101" s="8"/>
      <c r="D101" s="16"/>
      <c r="E101" s="16"/>
      <c r="F101" s="16"/>
      <c r="H101" s="8">
        <v>23.0</v>
      </c>
      <c r="I101" s="16"/>
      <c r="J101" s="8"/>
      <c r="K101" s="16"/>
      <c r="L101" s="16"/>
      <c r="M101" s="16"/>
    </row>
    <row r="102">
      <c r="A102" s="8">
        <v>27.0</v>
      </c>
      <c r="B102" s="8">
        <v>1.0</v>
      </c>
      <c r="C102" s="8"/>
      <c r="D102" s="16"/>
      <c r="E102" s="16"/>
      <c r="F102" s="16"/>
      <c r="H102" s="8">
        <v>24.0</v>
      </c>
      <c r="I102" s="16"/>
      <c r="J102" s="8"/>
      <c r="K102" s="16"/>
      <c r="L102" s="16"/>
      <c r="M102" s="16"/>
    </row>
    <row r="103">
      <c r="A103" s="8">
        <v>28.0</v>
      </c>
      <c r="B103" s="8">
        <v>1.0</v>
      </c>
      <c r="C103" s="16"/>
      <c r="D103" s="16"/>
      <c r="E103" s="16"/>
      <c r="F103" s="16"/>
      <c r="H103" s="8">
        <v>25.0</v>
      </c>
      <c r="I103" s="16"/>
      <c r="J103" s="16"/>
      <c r="K103" s="16"/>
      <c r="L103" s="16"/>
      <c r="M103" s="16"/>
    </row>
    <row r="104">
      <c r="A104" s="8">
        <v>29.0</v>
      </c>
      <c r="B104" s="8"/>
      <c r="C104" s="8">
        <v>1.0</v>
      </c>
      <c r="D104" s="16"/>
      <c r="E104" s="16"/>
      <c r="F104" s="16"/>
      <c r="H104" s="8">
        <v>26.0</v>
      </c>
      <c r="I104" s="16"/>
      <c r="J104" s="8"/>
      <c r="K104" s="16"/>
      <c r="L104" s="16"/>
      <c r="M104" s="16"/>
    </row>
    <row r="105">
      <c r="A105" s="8">
        <v>30.0</v>
      </c>
      <c r="B105" s="8"/>
      <c r="C105" s="8">
        <v>1.0</v>
      </c>
      <c r="D105" s="16"/>
      <c r="E105" s="16"/>
      <c r="F105" s="16"/>
      <c r="H105" s="8">
        <v>27.0</v>
      </c>
      <c r="I105" s="16"/>
      <c r="J105" s="8"/>
      <c r="K105" s="16"/>
      <c r="L105" s="16"/>
      <c r="M105" s="16"/>
    </row>
    <row r="106">
      <c r="A106" s="40" t="s">
        <v>87</v>
      </c>
      <c r="B106" s="8">
        <f t="shared" ref="B106:F106" si="5">SUM(B76:B105)</f>
        <v>24</v>
      </c>
      <c r="C106" s="8">
        <f t="shared" si="5"/>
        <v>6</v>
      </c>
      <c r="D106" s="8">
        <f t="shared" si="5"/>
        <v>4</v>
      </c>
      <c r="E106" s="8">
        <f t="shared" si="5"/>
        <v>0</v>
      </c>
      <c r="F106" s="8">
        <f t="shared" si="5"/>
        <v>2</v>
      </c>
      <c r="H106" s="8">
        <v>28.0</v>
      </c>
      <c r="I106" s="8"/>
      <c r="J106" s="16"/>
      <c r="K106" s="16"/>
      <c r="L106" s="16"/>
      <c r="M106" s="16"/>
    </row>
    <row r="107">
      <c r="A107" s="41" t="s">
        <v>89</v>
      </c>
      <c r="B107" s="42">
        <f>C106-B106</f>
        <v>-18</v>
      </c>
      <c r="C107" s="6"/>
      <c r="D107" s="16">
        <f>SUM(D79:D105)</f>
        <v>4</v>
      </c>
      <c r="E107" s="42">
        <f>(F106-E106)*5</f>
        <v>10</v>
      </c>
      <c r="F107" s="6"/>
      <c r="H107" s="8">
        <v>29.0</v>
      </c>
      <c r="I107" s="8"/>
      <c r="J107" s="16"/>
      <c r="K107" s="16"/>
      <c r="L107" s="16"/>
      <c r="M107" s="16"/>
    </row>
    <row r="108">
      <c r="A108" s="40" t="s">
        <v>92</v>
      </c>
      <c r="B108" s="43">
        <f>B107+D107+E107</f>
        <v>-4</v>
      </c>
      <c r="C108" s="7"/>
      <c r="D108" s="7"/>
      <c r="E108" s="7"/>
      <c r="F108" s="6"/>
      <c r="H108" s="8">
        <v>30.0</v>
      </c>
      <c r="I108" s="8"/>
      <c r="J108" s="16"/>
      <c r="K108" s="16"/>
      <c r="L108" s="16"/>
      <c r="M108" s="16"/>
    </row>
    <row r="109">
      <c r="H109" s="8">
        <v>31.0</v>
      </c>
      <c r="I109" s="8"/>
      <c r="J109" s="16"/>
      <c r="K109" s="16"/>
      <c r="L109" s="16"/>
      <c r="M109" s="16"/>
    </row>
    <row r="110">
      <c r="H110" s="40" t="s">
        <v>87</v>
      </c>
      <c r="I110" s="8">
        <f t="shared" ref="I110:M110" si="6">SUM(I79:I109)</f>
        <v>3</v>
      </c>
      <c r="J110" s="8">
        <f t="shared" si="6"/>
        <v>0</v>
      </c>
      <c r="K110" s="8">
        <f t="shared" si="6"/>
        <v>0</v>
      </c>
      <c r="L110" s="8">
        <f t="shared" si="6"/>
        <v>0</v>
      </c>
      <c r="M110" s="8">
        <f t="shared" si="6"/>
        <v>0</v>
      </c>
    </row>
    <row r="111">
      <c r="H111" s="41" t="s">
        <v>89</v>
      </c>
      <c r="I111" s="42">
        <f>J110-I110</f>
        <v>-3</v>
      </c>
      <c r="J111" s="6"/>
      <c r="K111" s="16">
        <f>SUM(K82:K109)</f>
        <v>0</v>
      </c>
      <c r="L111" s="42">
        <f>(M110-L110)*5</f>
        <v>0</v>
      </c>
      <c r="M111" s="6"/>
    </row>
    <row r="112">
      <c r="H112" s="40" t="s">
        <v>92</v>
      </c>
      <c r="I112" s="43">
        <f>I111+K111+L111</f>
        <v>-3</v>
      </c>
      <c r="J112" s="7"/>
      <c r="K112" s="7"/>
      <c r="L112" s="7"/>
      <c r="M112" s="6"/>
    </row>
  </sheetData>
  <mergeCells count="56">
    <mergeCell ref="B1:F1"/>
    <mergeCell ref="I1:M1"/>
    <mergeCell ref="P1:X1"/>
    <mergeCell ref="B2:C2"/>
    <mergeCell ref="E2:F2"/>
    <mergeCell ref="I2:J2"/>
    <mergeCell ref="L2:M2"/>
    <mergeCell ref="S3:X3"/>
    <mergeCell ref="S5:X5"/>
    <mergeCell ref="S7:X7"/>
    <mergeCell ref="S9:X9"/>
    <mergeCell ref="S11:X11"/>
    <mergeCell ref="P13:X13"/>
    <mergeCell ref="R15:X15"/>
    <mergeCell ref="R17:X17"/>
    <mergeCell ref="R19:X19"/>
    <mergeCell ref="R21:X21"/>
    <mergeCell ref="R23:X23"/>
    <mergeCell ref="R25:X25"/>
    <mergeCell ref="R27:X27"/>
    <mergeCell ref="R29:X29"/>
    <mergeCell ref="R31:X31"/>
    <mergeCell ref="B33:C33"/>
    <mergeCell ref="E33:F33"/>
    <mergeCell ref="R33:X33"/>
    <mergeCell ref="B34:F34"/>
    <mergeCell ref="R35:X35"/>
    <mergeCell ref="B36:F36"/>
    <mergeCell ref="I36:J36"/>
    <mergeCell ref="L36:M36"/>
    <mergeCell ref="B37:C37"/>
    <mergeCell ref="E37:F37"/>
    <mergeCell ref="I37:M37"/>
    <mergeCell ref="R37:X37"/>
    <mergeCell ref="R39:X39"/>
    <mergeCell ref="I73:J73"/>
    <mergeCell ref="L73:M73"/>
    <mergeCell ref="I74:M74"/>
    <mergeCell ref="I76:M76"/>
    <mergeCell ref="I77:J77"/>
    <mergeCell ref="L77:M77"/>
    <mergeCell ref="B74:C74"/>
    <mergeCell ref="E74:F74"/>
    <mergeCell ref="B107:C107"/>
    <mergeCell ref="E107:F107"/>
    <mergeCell ref="B108:F108"/>
    <mergeCell ref="I111:J111"/>
    <mergeCell ref="L111:M111"/>
    <mergeCell ref="I112:M112"/>
    <mergeCell ref="I39:M39"/>
    <mergeCell ref="I40:J40"/>
    <mergeCell ref="L40:M40"/>
    <mergeCell ref="B70:C70"/>
    <mergeCell ref="E70:F70"/>
    <mergeCell ref="B71:F71"/>
    <mergeCell ref="B73:F7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8.13"/>
    <col customWidth="1" min="3" max="3" width="14.75"/>
  </cols>
  <sheetData>
    <row r="2">
      <c r="A2" s="44" t="s">
        <v>94</v>
      </c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.38"/>
  </cols>
  <sheetData>
    <row r="1">
      <c r="B1" s="45" t="s">
        <v>109</v>
      </c>
    </row>
    <row r="2">
      <c r="C2" s="46" t="s">
        <v>110</v>
      </c>
      <c r="D2" s="46">
        <v>700.0</v>
      </c>
      <c r="E2" s="46">
        <v>0.5</v>
      </c>
    </row>
    <row r="3">
      <c r="C3" s="46" t="s">
        <v>111</v>
      </c>
      <c r="D3" s="46">
        <v>1200.0</v>
      </c>
      <c r="E3" s="46">
        <v>0.7</v>
      </c>
    </row>
    <row r="4">
      <c r="C4" s="46" t="s">
        <v>112</v>
      </c>
      <c r="D4" s="46">
        <v>1100.0</v>
      </c>
      <c r="E4" s="46">
        <v>0.7</v>
      </c>
      <c r="H4" s="46" t="s">
        <v>112</v>
      </c>
      <c r="I4" s="46">
        <v>1100.0</v>
      </c>
      <c r="J4" s="46">
        <v>0.7</v>
      </c>
    </row>
    <row r="5">
      <c r="C5" s="46" t="s">
        <v>113</v>
      </c>
      <c r="D5" s="46">
        <v>800.0</v>
      </c>
      <c r="E5" s="46">
        <v>0.7</v>
      </c>
      <c r="H5" s="46" t="s">
        <v>114</v>
      </c>
      <c r="I5" s="46">
        <v>800.0</v>
      </c>
      <c r="J5" s="46">
        <v>0.5</v>
      </c>
    </row>
    <row r="6">
      <c r="C6" s="46" t="s">
        <v>114</v>
      </c>
      <c r="D6" s="46">
        <v>800.0</v>
      </c>
      <c r="E6" s="46">
        <v>0.5</v>
      </c>
      <c r="H6" s="47" t="s">
        <v>115</v>
      </c>
      <c r="I6" s="47">
        <v>650.0</v>
      </c>
      <c r="J6" s="47">
        <v>0.5</v>
      </c>
    </row>
    <row r="7">
      <c r="C7" s="46" t="s">
        <v>115</v>
      </c>
      <c r="D7" s="46">
        <v>700.0</v>
      </c>
      <c r="E7" s="46">
        <v>0.5</v>
      </c>
    </row>
    <row r="8">
      <c r="C8" s="46" t="s">
        <v>116</v>
      </c>
      <c r="D8" s="46">
        <v>1700.0</v>
      </c>
      <c r="E8" s="46">
        <v>0.5</v>
      </c>
      <c r="H8" s="48" t="s">
        <v>110</v>
      </c>
      <c r="I8" s="48">
        <v>750.0</v>
      </c>
      <c r="J8" s="48">
        <v>0.7</v>
      </c>
    </row>
    <row r="9">
      <c r="H9" s="47" t="s">
        <v>111</v>
      </c>
      <c r="I9" s="47">
        <v>1000.0</v>
      </c>
      <c r="J9" s="47">
        <v>0.5</v>
      </c>
    </row>
    <row r="10">
      <c r="H10" s="47" t="s">
        <v>113</v>
      </c>
      <c r="I10" s="47">
        <v>400.0</v>
      </c>
      <c r="J10" s="47">
        <v>0.25</v>
      </c>
      <c r="L10" s="49"/>
      <c r="M10" s="49"/>
      <c r="N10" s="49"/>
    </row>
    <row r="11">
      <c r="B11" s="45" t="s">
        <v>118</v>
      </c>
      <c r="C11" s="48" t="s">
        <v>111</v>
      </c>
      <c r="D11" s="48">
        <v>850.0</v>
      </c>
      <c r="E11" s="48">
        <v>0.7</v>
      </c>
      <c r="H11" s="48" t="s">
        <v>112</v>
      </c>
      <c r="I11" s="48">
        <v>600.0</v>
      </c>
      <c r="J11" s="48">
        <v>0.5</v>
      </c>
    </row>
    <row r="12">
      <c r="C12" s="48" t="s">
        <v>110</v>
      </c>
      <c r="D12" s="48">
        <v>750.0</v>
      </c>
      <c r="E12" s="48">
        <v>0.7</v>
      </c>
      <c r="H12" s="48" t="s">
        <v>115</v>
      </c>
      <c r="I12" s="48">
        <v>570.0</v>
      </c>
      <c r="J12" s="48">
        <v>0.5</v>
      </c>
    </row>
    <row r="13">
      <c r="C13" s="48" t="s">
        <v>119</v>
      </c>
      <c r="D13" s="48">
        <v>450.0</v>
      </c>
      <c r="E13" s="48">
        <v>1.0</v>
      </c>
      <c r="H13" s="48" t="s">
        <v>114</v>
      </c>
      <c r="I13" s="48">
        <v>210.0</v>
      </c>
      <c r="J13" s="48">
        <v>0.5</v>
      </c>
    </row>
    <row r="14">
      <c r="C14" s="48" t="s">
        <v>120</v>
      </c>
      <c r="D14" s="48">
        <v>300.0</v>
      </c>
      <c r="E14" s="48">
        <v>0.5</v>
      </c>
      <c r="H14" s="46" t="s">
        <v>116</v>
      </c>
      <c r="I14" s="46">
        <v>1700.0</v>
      </c>
      <c r="J14" s="46">
        <v>0.5</v>
      </c>
    </row>
    <row r="15">
      <c r="C15" s="48" t="s">
        <v>112</v>
      </c>
      <c r="D15" s="48">
        <v>600.0</v>
      </c>
      <c r="E15" s="48">
        <v>0.5</v>
      </c>
      <c r="I15" s="20">
        <f>SUM(I8:I14)</f>
        <v>5230</v>
      </c>
    </row>
    <row r="16">
      <c r="C16" s="48" t="s">
        <v>115</v>
      </c>
      <c r="D16" s="48">
        <v>570.0</v>
      </c>
      <c r="E16" s="48">
        <v>0.5</v>
      </c>
    </row>
    <row r="17">
      <c r="C17" s="48" t="s">
        <v>114</v>
      </c>
      <c r="D17" s="48">
        <v>210.0</v>
      </c>
      <c r="E17" s="48">
        <v>0.5</v>
      </c>
      <c r="I17" s="26">
        <v>6400.0</v>
      </c>
    </row>
    <row r="18">
      <c r="D18" s="20">
        <f>SUM(D11:D17)</f>
        <v>3730</v>
      </c>
    </row>
    <row r="20">
      <c r="B20" s="45" t="s">
        <v>122</v>
      </c>
      <c r="C20" s="50" t="s">
        <v>110</v>
      </c>
      <c r="D20" s="50">
        <v>600.0</v>
      </c>
      <c r="E20" s="50">
        <v>0.5</v>
      </c>
    </row>
    <row r="21">
      <c r="C21" s="50" t="s">
        <v>111</v>
      </c>
      <c r="D21" s="50">
        <v>1200.0</v>
      </c>
      <c r="E21" s="50">
        <v>0.7</v>
      </c>
    </row>
    <row r="22">
      <c r="C22" s="50" t="s">
        <v>120</v>
      </c>
      <c r="D22" s="50">
        <v>450.0</v>
      </c>
      <c r="E22" s="50">
        <v>0.7</v>
      </c>
    </row>
    <row r="25">
      <c r="B25" s="45" t="s">
        <v>125</v>
      </c>
      <c r="C25" s="47" t="s">
        <v>111</v>
      </c>
      <c r="D25" s="47">
        <v>1000.0</v>
      </c>
      <c r="E25" s="47">
        <v>0.5</v>
      </c>
    </row>
    <row r="26">
      <c r="C26" s="47" t="s">
        <v>120</v>
      </c>
      <c r="D26" s="47">
        <v>500.0</v>
      </c>
      <c r="E26" s="47">
        <v>0.7</v>
      </c>
    </row>
    <row r="27">
      <c r="C27" s="47" t="s">
        <v>110</v>
      </c>
      <c r="D27" s="47">
        <v>500.0</v>
      </c>
      <c r="E27" s="47">
        <v>0.5</v>
      </c>
    </row>
    <row r="28">
      <c r="C28" s="47" t="s">
        <v>126</v>
      </c>
      <c r="D28" s="47">
        <v>400.0</v>
      </c>
      <c r="E28" s="47">
        <v>0.25</v>
      </c>
    </row>
    <row r="29">
      <c r="C29" s="47" t="s">
        <v>115</v>
      </c>
      <c r="D29" s="47">
        <v>650.0</v>
      </c>
      <c r="E29" s="47">
        <v>0.5</v>
      </c>
    </row>
  </sheetData>
  <mergeCells count="4">
    <mergeCell ref="B1:B8"/>
    <mergeCell ref="B11:B17"/>
    <mergeCell ref="B20:B22"/>
    <mergeCell ref="B25:B2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